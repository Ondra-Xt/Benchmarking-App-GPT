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fig" sheetId="1" state="visible" r:id="rId1"/>
    <sheet xmlns:r="http://schemas.openxmlformats.org/officeDocument/2006/relationships" name="Pricing_Sources" sheetId="2" state="visible" r:id="rId2"/>
    <sheet xmlns:r="http://schemas.openxmlformats.org/officeDocument/2006/relationships" name="Candidates_All" sheetId="3" state="visible" r:id="rId3"/>
    <sheet xmlns:r="http://schemas.openxmlformats.org/officeDocument/2006/relationships" name="Excluded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BOM_Options" sheetId="6" state="visible" r:id="rId6"/>
    <sheet xmlns:r="http://schemas.openxmlformats.org/officeDocument/2006/relationships" name="Components" sheetId="7" state="visible" r:id="rId7"/>
    <sheet xmlns:r="http://schemas.openxmlformats.org/officeDocument/2006/relationships" name="Offers" sheetId="8" state="visible" r:id="rId8"/>
    <sheet xmlns:r="http://schemas.openxmlformats.org/officeDocument/2006/relationships" name="Evidence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Reference_Profile" sheetId="11" state="visible" r:id="rId11"/>
    <sheet xmlns:r="http://schemas.openxmlformats.org/officeDocument/2006/relationships" name="Equivalence_Weights" sheetId="12" state="visible" r:id="rId12"/>
    <sheet xmlns:r="http://schemas.openxmlformats.org/officeDocument/2006/relationships" name="Exclusion_Rules" sheetId="13" state="visible" r:id="rId13"/>
    <sheet xmlns:r="http://schemas.openxmlformats.org/officeDocument/2006/relationships" name="Final_Scoring_Weights" sheetId="14" state="visible" r:id="rId14"/>
    <sheet xmlns:r="http://schemas.openxmlformats.org/officeDocument/2006/relationships" name="Scoring_Settings" sheetId="15" state="visible" r:id="rId1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EquivalenceWeights" displayName="EquivalenceWeights" ref="A1:C7" headerRowCount="1">
  <autoFilter ref="A1:C7"/>
  <tableColumns count="3">
    <tableColumn id="1" name="key"/>
    <tableColumn id="2" name="label"/>
    <tableColumn id="3" name="weight_p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inalScoringWeights" displayName="FinalScoringWeights" ref="A1:D11" headerRowCount="1">
  <autoFilter ref="A1:D11"/>
  <tableColumns count="4">
    <tableColumn id="1" name="key"/>
    <tableColumn id="2" name="label"/>
    <tableColumn id="3" name="weight_pct"/>
    <tableColumn id="4" name="enabl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coringSettings" displayName="ScoringSettings" ref="A1:C7" headerRowCount="1">
  <autoFilter ref="A1:C7"/>
  <tableColumns count="3">
    <tableColumn id="1" name="setting"/>
    <tableColumn id="2" name="value"/>
    <tableColumn id="3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0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reference_manufacturer</t>
        </is>
      </c>
      <c r="B2" t="inlineStr">
        <is>
          <t>KALDEWEI</t>
        </is>
      </c>
    </row>
    <row r="3">
      <c r="A3" t="inlineStr">
        <is>
          <t>reference_product</t>
        </is>
      </c>
      <c r="B3" t="inlineStr">
        <is>
          <t>FLOWLINE ZERO</t>
        </is>
      </c>
    </row>
    <row r="4">
      <c r="A4" t="inlineStr">
        <is>
          <t>target_length_mm</t>
        </is>
      </c>
      <c r="B4" t="n">
        <v>1200</v>
      </c>
    </row>
    <row r="5">
      <c r="A5" t="inlineStr">
        <is>
          <t>length_tolerance_mm</t>
        </is>
      </c>
      <c r="B5" t="n">
        <v>100</v>
      </c>
    </row>
    <row r="6">
      <c r="A6" t="inlineStr">
        <is>
          <t>include_cuttable</t>
        </is>
      </c>
      <c r="B6" t="inlineStr">
        <is>
          <t>yes</t>
        </is>
      </c>
    </row>
    <row r="7">
      <c r="A7" t="inlineStr">
        <is>
          <t>scope</t>
        </is>
      </c>
      <c r="B7" t="inlineStr">
        <is>
          <t>complete system</t>
        </is>
      </c>
    </row>
    <row r="8">
      <c r="A8" t="inlineStr">
        <is>
          <t>required_min_flow_rate_lps</t>
        </is>
      </c>
      <c r="B8" t="n">
        <v>0.8</v>
      </c>
    </row>
    <row r="9">
      <c r="A9" t="inlineStr">
        <is>
          <t>pricing_market</t>
        </is>
      </c>
      <c r="B9" t="inlineStr">
        <is>
          <t>DE</t>
        </is>
      </c>
    </row>
    <row r="10">
      <c r="A10" t="inlineStr">
        <is>
          <t>currency</t>
        </is>
      </c>
      <c r="B10" t="inlineStr">
        <is>
          <t>EUR</t>
        </is>
      </c>
    </row>
    <row r="11">
      <c r="A11" t="inlineStr">
        <is>
          <t>shipping_included</t>
        </is>
      </c>
      <c r="B11" t="inlineStr">
        <is>
          <t>no</t>
        </is>
      </c>
    </row>
    <row r="12">
      <c r="A12" t="inlineStr">
        <is>
          <t>pricing_sources_priority</t>
        </is>
      </c>
      <c r="B12" t="inlineStr">
        <is>
          <t>Reuter.de; Megabad.de; Hornbach.de</t>
        </is>
      </c>
    </row>
    <row r="13">
      <c r="A13" t="inlineStr">
        <is>
          <t>pricing_rule</t>
        </is>
      </c>
      <c r="B13" t="inlineStr">
        <is>
          <t>lowest normal price; shipping excluded; may use other DE sources as fallback</t>
        </is>
      </c>
    </row>
    <row r="14">
      <c r="A14" t="inlineStr">
        <is>
          <t>non_complete_system_handling</t>
        </is>
      </c>
      <c r="B14" t="inlineStr">
        <is>
          <t>keep in registry; mark as not_complete_system; exclude from benchmark</t>
        </is>
      </c>
    </row>
    <row r="15">
      <c r="A15" t="inlineStr">
        <is>
          <t>generated_utc</t>
        </is>
      </c>
      <c r="B15" t="inlineStr">
        <is>
          <t>2026-01-02T12:58:39Z</t>
        </is>
      </c>
    </row>
    <row r="16">
      <c r="A16" t="inlineStr">
        <is>
          <t>promo_handling</t>
        </is>
      </c>
      <c r="B16" t="inlineStr">
        <is>
          <t>prefer non-promo; if only promo available, use promo and flag</t>
        </is>
      </c>
    </row>
    <row r="17">
      <c r="A17" t="inlineStr">
        <is>
          <t>price_output_fields</t>
        </is>
      </c>
      <c r="B17" t="inlineStr">
        <is>
          <t>min_price_de_eur = chosen; additional fields: min_price_de_eur_any, min_price_de_eur_regular</t>
        </is>
      </c>
    </row>
    <row r="18">
      <c r="A18" t="inlineStr">
        <is>
          <t>match_priority</t>
        </is>
      </c>
      <c r="B18" t="inlineStr">
        <is>
          <t>closest_equivalent</t>
        </is>
      </c>
    </row>
    <row r="19">
      <c r="A19" t="inlineStr">
        <is>
          <t>flow_rate_filtering</t>
        </is>
      </c>
      <c r="B19" t="inlineStr">
        <is>
          <t>collect_only (filter during scoring)</t>
        </is>
      </c>
    </row>
    <row r="20">
      <c r="A20" t="inlineStr">
        <is>
          <t>material_inference</t>
        </is>
      </c>
      <c r="B20" t="inlineStr">
        <is>
          <t>allowed (store inferred flag + note)</t>
        </is>
      </c>
    </row>
    <row r="21">
      <c r="A21" t="inlineStr">
        <is>
          <t>length_tolerance_mm</t>
        </is>
      </c>
      <c r="B21" t="n">
        <v>100</v>
      </c>
    </row>
    <row r="22">
      <c r="A22" t="inlineStr">
        <is>
          <t>include_cuttable</t>
        </is>
      </c>
      <c r="B22" t="inlineStr">
        <is>
          <t>yes</t>
        </is>
      </c>
    </row>
    <row r="24">
      <c r="A24" t="inlineStr">
        <is>
          <t>Scoring configuration references</t>
        </is>
      </c>
    </row>
    <row r="25">
      <c r="A25" t="inlineStr">
        <is>
          <t>Equivalence weights sheet</t>
        </is>
      </c>
      <c r="B25" t="inlineStr">
        <is>
          <t>Equivalence_Weights</t>
        </is>
      </c>
    </row>
    <row r="26">
      <c r="A26" t="inlineStr">
        <is>
          <t>Final scoring weights sheet</t>
        </is>
      </c>
      <c r="B26" t="inlineStr">
        <is>
          <t>Final_Scoring_Weights</t>
        </is>
      </c>
    </row>
    <row r="27">
      <c r="A27" t="inlineStr">
        <is>
          <t>Settings sheet</t>
        </is>
      </c>
      <c r="B27" t="inlineStr">
        <is>
          <t>Scoring_Settings</t>
        </is>
      </c>
    </row>
    <row r="28">
      <c r="A28" t="inlineStr">
        <is>
          <t>Last template update (UTC)</t>
        </is>
      </c>
      <c r="B28" t="inlineStr">
        <is>
          <t>2026-01-13T10:21:30Z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55" customWidth="1" min="3" max="3"/>
  </cols>
  <sheetData>
    <row r="1" ht="30" customHeight="1">
      <c r="A1" s="1" t="inlineStr">
        <is>
          <t>retailer</t>
        </is>
      </c>
      <c r="B1" s="1" t="inlineStr">
        <is>
          <t>priority</t>
        </is>
      </c>
      <c r="C1" s="1" t="inlineStr">
        <is>
          <t>notes</t>
        </is>
      </c>
    </row>
    <row r="2">
      <c r="A2" t="inlineStr">
        <is>
          <t>Reuter.de</t>
        </is>
      </c>
      <c r="B2" t="n">
        <v>1</v>
      </c>
      <c r="C2" t="inlineStr">
        <is>
          <t>Preferred; may require headless/browser automation due to bot protection.</t>
        </is>
      </c>
    </row>
    <row r="3">
      <c r="A3" t="inlineStr">
        <is>
          <t>Megabad.de</t>
        </is>
      </c>
      <c r="B3" t="n">
        <v>2</v>
      </c>
      <c r="C3" t="inlineStr">
        <is>
          <t>Preferred; often lists sets and technical text.</t>
        </is>
      </c>
    </row>
    <row r="4">
      <c r="A4" t="inlineStr">
        <is>
          <t>Hornbach.de</t>
        </is>
      </c>
      <c r="B4" t="n">
        <v>3</v>
      </c>
      <c r="C4" t="inlineStr">
        <is>
          <t>Preferred; often modular pricing via component sum.</t>
        </is>
      </c>
    </row>
    <row r="5">
      <c r="A5" t="inlineStr">
        <is>
          <t>Fallback_DE</t>
        </is>
      </c>
      <c r="B5" t="n">
        <v>99</v>
      </c>
      <c r="C5" t="inlineStr">
        <is>
          <t>Allowed: any reputable German retailer when preferred sources lack a matching variant.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  <col width="18" customWidth="1" min="4" max="4"/>
    <col width="27" customWidth="1" min="5" max="5"/>
    <col width="20" customWidth="1" min="6" max="6"/>
    <col width="17" customWidth="1" min="7" max="7"/>
    <col width="48" customWidth="1" min="8" max="8"/>
    <col width="36" customWidth="1" min="9" max="9"/>
    <col width="33" customWidth="1" min="10" max="10"/>
    <col width="55" customWidth="1" min="11" max="11"/>
    <col width="48" customWidth="1" min="12" max="12"/>
    <col width="55" customWidth="1" min="13" max="13"/>
    <col width="55" customWidth="1" min="14" max="14"/>
    <col width="22" customWidth="1" min="15" max="15"/>
    <col width="18" customWidth="1" min="16" max="16"/>
    <col width="21" customWidth="1" min="17" max="17"/>
    <col width="23" customWidth="1" min="18" max="18"/>
    <col width="21" customWidth="1" min="19" max="19"/>
    <col width="26" customWidth="1" min="20" max="20"/>
    <col width="24" customWidth="1" min="21" max="21"/>
    <col width="28" customWidth="1" min="22" max="22"/>
    <col width="23" customWidth="1" min="23" max="23"/>
  </cols>
  <sheetData>
    <row r="1" ht="30" customHeight="1">
      <c r="A1" s="1" t="inlineStr">
        <is>
          <t>manufacturer</t>
        </is>
      </c>
      <c r="B1" s="1" t="inlineStr">
        <is>
          <t>product_family</t>
        </is>
      </c>
      <c r="C1" s="1" t="inlineStr">
        <is>
          <t>product</t>
        </is>
      </c>
      <c r="D1" s="1" t="inlineStr">
        <is>
          <t>length_mode</t>
        </is>
      </c>
      <c r="E1" s="1" t="inlineStr">
        <is>
          <t>available_lengths_mm</t>
        </is>
      </c>
      <c r="F1" s="1" t="inlineStr">
        <is>
          <t>selected_length_mm</t>
        </is>
      </c>
      <c r="G1" s="1" t="inlineStr">
        <is>
          <t>length_delta_mm</t>
        </is>
      </c>
      <c r="H1" s="1" t="inlineStr">
        <is>
          <t>complete_system</t>
        </is>
      </c>
      <c r="I1" s="1" t="inlineStr">
        <is>
          <t>tileable</t>
        </is>
      </c>
      <c r="J1" s="1" t="inlineStr">
        <is>
          <t>outlet</t>
        </is>
      </c>
      <c r="K1" s="1" t="inlineStr">
        <is>
          <t>flow_rate_l_min</t>
        </is>
      </c>
      <c r="L1" s="1" t="inlineStr">
        <is>
          <t>material</t>
        </is>
      </c>
      <c r="M1" s="1" t="inlineStr">
        <is>
          <t>sealing_fleece</t>
        </is>
      </c>
      <c r="N1" s="1" t="inlineStr">
        <is>
          <t>sources</t>
        </is>
      </c>
      <c r="O1" s="1" t="inlineStr">
        <is>
          <t>captured_ts</t>
        </is>
      </c>
      <c r="P1" s="1" t="inlineStr">
        <is>
          <t>target_length_mm</t>
        </is>
      </c>
      <c r="Q1" s="1" t="inlineStr">
        <is>
          <t>length_tolerance_mm</t>
        </is>
      </c>
      <c r="R1" s="1" t="inlineStr">
        <is>
          <t>eligible_length_match</t>
        </is>
      </c>
      <c r="S1" s="1" t="inlineStr">
        <is>
          <t>system_completeness</t>
        </is>
      </c>
      <c r="T1" s="1" t="inlineStr">
        <is>
          <t>eligible_complete_system</t>
        </is>
      </c>
      <c r="U1" s="1" t="inlineStr">
        <is>
          <t>eligible_for_benchmark</t>
        </is>
      </c>
      <c r="V1" s="1" t="inlineStr">
        <is>
          <t>source_domain</t>
        </is>
      </c>
      <c r="W1" s="1" t="inlineStr">
        <is>
          <t>registry_generated_ts</t>
        </is>
      </c>
    </row>
    <row r="2">
      <c r="A2" t="inlineStr">
        <is>
          <t>hansgrohe</t>
        </is>
      </c>
      <c r="B2" t="inlineStr">
        <is>
          <t>RainDrain</t>
        </is>
      </c>
      <c r="C2" t="inlineStr">
        <is>
          <t>RainDrain Compact – Complete set shower drain 1200 (56184800)</t>
        </is>
      </c>
      <c r="D2" t="inlineStr">
        <is>
          <t>fixed</t>
        </is>
      </c>
      <c r="E2" t="inlineStr">
        <is>
          <t>1200</t>
        </is>
      </c>
      <c r="F2" t="n">
        <v>1200</v>
      </c>
      <c r="G2" t="n">
        <v>0</v>
      </c>
      <c r="H2" t="inlineStr">
        <is>
          <t>yes</t>
        </is>
      </c>
      <c r="I2" t="inlineStr">
        <is>
          <t>unknown</t>
        </is>
      </c>
      <c r="J2" t="inlineStr">
        <is>
          <t>horizontal</t>
        </is>
      </c>
      <c r="K2" t="inlineStr">
        <is>
          <t>up to 37</t>
        </is>
      </c>
      <c r="L2" t="inlineStr">
        <is>
          <t>Stainless steel 304 (1.4301) + ABS (trap)</t>
        </is>
      </c>
      <c r="M2" t="inlineStr">
        <is>
          <t>pre-assembled sealing membrane</t>
        </is>
      </c>
      <c r="N2" t="inlineStr">
        <is>
          <t>https://www.hansgrohe.com/articledetail-raindrain-compact-complete-set-shower-drain-1200-for-standard-installation-56184800</t>
        </is>
      </c>
      <c r="O2" t="inlineStr">
        <is>
          <t>2026-01-02T11:58:03Z</t>
        </is>
      </c>
      <c r="P2" t="n">
        <v>1200</v>
      </c>
      <c r="Q2" t="n">
        <v>100</v>
      </c>
      <c r="R2" t="b">
        <v>1</v>
      </c>
      <c r="S2" t="inlineStr">
        <is>
          <t>complete_set</t>
        </is>
      </c>
      <c r="T2" t="b">
        <v>1</v>
      </c>
      <c r="U2" t="b">
        <v>1</v>
      </c>
      <c r="V2" t="inlineStr">
        <is>
          <t>www.hansgrohe.com</t>
        </is>
      </c>
      <c r="W2" t="inlineStr">
        <is>
          <t>2026-01-02T12:31:56Z</t>
        </is>
      </c>
    </row>
    <row r="3">
      <c r="A3" t="inlineStr">
        <is>
          <t>hansgrohe</t>
        </is>
      </c>
      <c r="B3" t="inlineStr">
        <is>
          <t>RainDrain</t>
        </is>
      </c>
      <c r="C3" t="inlineStr">
        <is>
          <t>RainDrain Allround – Complete set shower drain 1200 (56190800)</t>
        </is>
      </c>
      <c r="D3" t="inlineStr">
        <is>
          <t>fixed</t>
        </is>
      </c>
      <c r="E3" t="inlineStr">
        <is>
          <t>1200</t>
        </is>
      </c>
      <c r="F3" t="n">
        <v>1200</v>
      </c>
      <c r="G3" t="n">
        <v>0</v>
      </c>
      <c r="H3" t="inlineStr">
        <is>
          <t>yes</t>
        </is>
      </c>
      <c r="I3" t="inlineStr">
        <is>
          <t>unknown</t>
        </is>
      </c>
      <c r="J3" t="inlineStr">
        <is>
          <t>horizontal</t>
        </is>
      </c>
      <c r="K3" t="inlineStr">
        <is>
          <t>up to 33 (standard) / 32 (flat)</t>
        </is>
      </c>
      <c r="L3" t="inlineStr">
        <is>
          <t>Stainless steel 304 (1.4301)</t>
        </is>
      </c>
      <c r="M3" t="inlineStr">
        <is>
          <t>pre-assembled sealing membrane</t>
        </is>
      </c>
      <c r="N3" t="inlineStr">
        <is>
          <t>https://www.hansgrohe.com/articledetail-raindrain-allround-complete-set-shower-drain-1200-for-standard-flat-installation-56190800</t>
        </is>
      </c>
      <c r="O3" t="inlineStr">
        <is>
          <t>2026-01-02T11:58:03Z</t>
        </is>
      </c>
      <c r="P3" t="n">
        <v>1200</v>
      </c>
      <c r="Q3" t="n">
        <v>100</v>
      </c>
      <c r="R3" t="b">
        <v>1</v>
      </c>
      <c r="S3" t="inlineStr">
        <is>
          <t>complete_set</t>
        </is>
      </c>
      <c r="T3" t="b">
        <v>1</v>
      </c>
      <c r="U3" t="b">
        <v>1</v>
      </c>
      <c r="V3" t="inlineStr">
        <is>
          <t>www.hansgrohe.com</t>
        </is>
      </c>
      <c r="W3" t="inlineStr">
        <is>
          <t>2026-01-02T12:31:56Z</t>
        </is>
      </c>
    </row>
    <row r="4">
      <c r="A4" t="inlineStr">
        <is>
          <t>hansgrohe</t>
        </is>
      </c>
      <c r="B4" t="inlineStr">
        <is>
          <t>RainDrain</t>
        </is>
      </c>
      <c r="C4" t="inlineStr">
        <is>
          <t>RainDrain Go – Complete set shower drain 1200 tileable rear cover (56276670)</t>
        </is>
      </c>
      <c r="D4" t="inlineStr">
        <is>
          <t>fixed</t>
        </is>
      </c>
      <c r="E4" t="inlineStr">
        <is>
          <t>1200</t>
        </is>
      </c>
      <c r="F4" t="n">
        <v>1200</v>
      </c>
      <c r="G4" t="n">
        <v>0</v>
      </c>
      <c r="H4" t="inlineStr">
        <is>
          <t>yes</t>
        </is>
      </c>
      <c r="I4" t="inlineStr">
        <is>
          <t>yes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https://www.hansgrohe.com/articledetail-raindrain-go-complete-set-shower-drain-1200-tileable-rear-cover-standard-flat-installation-56276670</t>
        </is>
      </c>
      <c r="O4" t="inlineStr">
        <is>
          <t>2026-01-02T11:58:03Z</t>
        </is>
      </c>
      <c r="P4" t="n">
        <v>1200</v>
      </c>
      <c r="Q4" t="n">
        <v>100</v>
      </c>
      <c r="R4" t="b">
        <v>1</v>
      </c>
      <c r="S4" t="inlineStr">
        <is>
          <t>complete_set</t>
        </is>
      </c>
      <c r="T4" t="b">
        <v>1</v>
      </c>
      <c r="U4" t="b">
        <v>1</v>
      </c>
      <c r="V4" t="inlineStr">
        <is>
          <t>www.hansgrohe.com</t>
        </is>
      </c>
      <c r="W4" t="inlineStr">
        <is>
          <t>2026-01-02T12:31:56Z</t>
        </is>
      </c>
    </row>
    <row r="5">
      <c r="A5" t="inlineStr">
        <is>
          <t>hansgrohe</t>
        </is>
      </c>
      <c r="B5" t="inlineStr">
        <is>
          <t>RainDrain</t>
        </is>
      </c>
      <c r="C5" t="inlineStr">
        <is>
          <t>RainDrain Original – Finish set shower drain 1200 (56201800)</t>
        </is>
      </c>
      <c r="D5" t="inlineStr">
        <is>
          <t>fixed</t>
        </is>
      </c>
      <c r="E5" t="inlineStr">
        <is>
          <t>1200</t>
        </is>
      </c>
      <c r="F5" t="n">
        <v>1200</v>
      </c>
      <c r="G5" t="n">
        <v>0</v>
      </c>
      <c r="H5" t="inlineStr">
        <is>
          <t>no (finish set; required parts listed)</t>
        </is>
      </c>
      <c r="I5" t="inlineStr">
        <is>
          <t>no</t>
        </is>
      </c>
      <c r="J5" t="inlineStr">
        <is>
          <t>unknown</t>
        </is>
      </c>
      <c r="K5" t="inlineStr">
        <is>
          <t>up to 49</t>
        </is>
      </c>
      <c r="L5" t="inlineStr">
        <is>
          <t>unknown</t>
        </is>
      </c>
      <c r="M5" t="inlineStr">
        <is>
          <t>membrane included</t>
        </is>
      </c>
      <c r="N5" t="inlineStr">
        <is>
          <t>https://www.hansgrohe.com/articledetail-raindrain-original-finish-set-shower-drain-1200-56201800</t>
        </is>
      </c>
      <c r="O5" t="inlineStr">
        <is>
          <t>2026-01-02T11:58:03Z</t>
        </is>
      </c>
      <c r="P5" t="n">
        <v>1200</v>
      </c>
      <c r="Q5" t="n">
        <v>100</v>
      </c>
      <c r="R5" t="b">
        <v>1</v>
      </c>
      <c r="S5" t="inlineStr">
        <is>
          <t>not_complete_system</t>
        </is>
      </c>
      <c r="T5" t="b">
        <v>0</v>
      </c>
      <c r="U5" t="b">
        <v>0</v>
      </c>
      <c r="V5" t="inlineStr">
        <is>
          <t>www.hansgrohe.com</t>
        </is>
      </c>
      <c r="W5" t="inlineStr">
        <is>
          <t>2026-01-02T12:31:56Z</t>
        </is>
      </c>
    </row>
    <row r="6">
      <c r="A6" t="inlineStr">
        <is>
          <t>Schlüter-Systems</t>
        </is>
      </c>
      <c r="B6" t="inlineStr">
        <is>
          <t>KERDI-LINE</t>
        </is>
      </c>
      <c r="C6" t="inlineStr">
        <is>
          <t>KERDI-LINE-G3 – Complete set (height 78 mm; lengths include up to 1200)</t>
        </is>
      </c>
      <c r="D6" t="inlineStr">
        <is>
          <t>range</t>
        </is>
      </c>
      <c r="E6" t="inlineStr">
        <is>
          <t>up to 1200</t>
        </is>
      </c>
      <c r="F6" t="n">
        <v>1200</v>
      </c>
      <c r="G6" t="n">
        <v>0</v>
      </c>
      <c r="H6" t="inlineStr">
        <is>
          <t>yes</t>
        </is>
      </c>
      <c r="I6" t="inlineStr">
        <is>
          <t>unknown</t>
        </is>
      </c>
      <c r="J6" t="inlineStr">
        <is>
          <t>unknown (depends configuration)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 (verify in downloads)</t>
        </is>
      </c>
      <c r="N6" t="inlineStr">
        <is>
          <t>https://eu.schluter.com/en-GB/drainage-312/e/33224/kerdi-line-g3</t>
        </is>
      </c>
      <c r="O6" t="inlineStr">
        <is>
          <t>2026-01-02T11:58:03Z</t>
        </is>
      </c>
      <c r="P6" t="n">
        <v>1200</v>
      </c>
      <c r="Q6" t="n">
        <v>100</v>
      </c>
      <c r="R6" t="b">
        <v>1</v>
      </c>
      <c r="S6" t="inlineStr">
        <is>
          <t>complete_set</t>
        </is>
      </c>
      <c r="T6" t="b">
        <v>1</v>
      </c>
      <c r="U6" t="b">
        <v>1</v>
      </c>
      <c r="V6" t="inlineStr">
        <is>
          <t>eu.schluter.com</t>
        </is>
      </c>
      <c r="W6" t="inlineStr">
        <is>
          <t>2026-01-02T12:31:56Z</t>
        </is>
      </c>
    </row>
    <row r="7">
      <c r="A7" t="inlineStr">
        <is>
          <t>Schlüter-Systems</t>
        </is>
      </c>
      <c r="B7" t="inlineStr">
        <is>
          <t>KERDI-LINE</t>
        </is>
      </c>
      <c r="C7" t="inlineStr">
        <is>
          <t>KERDI-LINE-V – Complete set for vertical linear drainage</t>
        </is>
      </c>
      <c r="D7" t="inlineStr">
        <is>
          <t>unknown</t>
        </is>
      </c>
      <c r="E7" t="inlineStr">
        <is>
          <t>unknown</t>
        </is>
      </c>
      <c r="H7" t="inlineStr">
        <is>
          <t>yes</t>
        </is>
      </c>
      <c r="I7" t="inlineStr">
        <is>
          <t>unknown</t>
        </is>
      </c>
      <c r="J7" t="inlineStr">
        <is>
          <t>vertical</t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https://eu.schluter.com/en-GB/drainage-312/e/22137/kerdi-line-v</t>
        </is>
      </c>
      <c r="O7" t="inlineStr">
        <is>
          <t>2026-01-02T11:58:03Z</t>
        </is>
      </c>
      <c r="P7" t="n">
        <v>1200</v>
      </c>
      <c r="Q7" t="n">
        <v>100</v>
      </c>
      <c r="R7" t="b">
        <v>0</v>
      </c>
      <c r="S7" t="inlineStr">
        <is>
          <t>complete_set</t>
        </is>
      </c>
      <c r="T7" t="b">
        <v>1</v>
      </c>
      <c r="U7" t="b">
        <v>0</v>
      </c>
      <c r="V7" t="inlineStr">
        <is>
          <t>eu.schluter.com</t>
        </is>
      </c>
      <c r="W7" t="inlineStr">
        <is>
          <t>2026-01-02T12:31:56Z</t>
        </is>
      </c>
    </row>
    <row r="8">
      <c r="A8" t="inlineStr">
        <is>
          <t>Schlüter-Systems</t>
        </is>
      </c>
      <c r="B8" t="inlineStr">
        <is>
          <t>KERDI-LINE-VARIO</t>
        </is>
      </c>
      <c r="C8" t="inlineStr">
        <is>
          <t>KERDI-LINE-VARIO-COVE – drainage profile 120/180 cm, cuttable</t>
        </is>
      </c>
      <c r="D8" t="inlineStr">
        <is>
          <t>cuttable</t>
        </is>
      </c>
      <c r="E8" t="inlineStr">
        <is>
          <t>1200;1800</t>
        </is>
      </c>
      <c r="F8" t="n">
        <v>1200</v>
      </c>
      <c r="G8" t="n">
        <v>0</v>
      </c>
      <c r="H8" t="inlineStr">
        <is>
          <t>no (profile only)</t>
        </is>
      </c>
      <c r="I8" t="inlineStr">
        <is>
          <t>unknown</t>
        </is>
      </c>
      <c r="J8" t="inlineStr">
        <is>
          <t>n/a (profile)</t>
        </is>
      </c>
      <c r="K8" t="inlineStr">
        <is>
          <t>unknown</t>
        </is>
      </c>
      <c r="L8" t="inlineStr">
        <is>
          <t>unknown</t>
        </is>
      </c>
      <c r="M8" t="inlineStr">
        <is>
          <t>depends on drainage body</t>
        </is>
      </c>
      <c r="N8" t="inlineStr">
        <is>
          <t>https://eu.schluter.com/en-DE/drainage-312/e/22408/kerdi-line-vario-cove</t>
        </is>
      </c>
      <c r="O8" t="inlineStr">
        <is>
          <t>2026-01-02T11:58:03Z</t>
        </is>
      </c>
      <c r="P8" t="n">
        <v>1200</v>
      </c>
      <c r="Q8" t="n">
        <v>100</v>
      </c>
      <c r="R8" t="b">
        <v>1</v>
      </c>
      <c r="S8" t="inlineStr">
        <is>
          <t>not_complete_system</t>
        </is>
      </c>
      <c r="T8" t="b">
        <v>0</v>
      </c>
      <c r="U8" t="b">
        <v>0</v>
      </c>
      <c r="V8" t="inlineStr">
        <is>
          <t>eu.schluter.com</t>
        </is>
      </c>
      <c r="W8" t="inlineStr">
        <is>
          <t>2026-01-02T12:31:56Z</t>
        </is>
      </c>
    </row>
    <row r="9">
      <c r="A9" t="inlineStr">
        <is>
          <t>Schlüter-Systems</t>
        </is>
      </c>
      <c r="B9" t="inlineStr">
        <is>
          <t>KERDI-LINE-VARIO</t>
        </is>
      </c>
      <c r="C9" t="inlineStr">
        <is>
          <t>KERDI-LINE-VARIO-WAVE – drainage profile 120/180 cm, cuttable</t>
        </is>
      </c>
      <c r="D9" t="inlineStr">
        <is>
          <t>cuttable</t>
        </is>
      </c>
      <c r="E9" t="inlineStr">
        <is>
          <t>1200;1800</t>
        </is>
      </c>
      <c r="F9" t="n">
        <v>1200</v>
      </c>
      <c r="G9" t="n">
        <v>0</v>
      </c>
      <c r="H9" t="inlineStr">
        <is>
          <t>no (profile only)</t>
        </is>
      </c>
      <c r="I9" t="inlineStr">
        <is>
          <t>unknown</t>
        </is>
      </c>
      <c r="J9" t="inlineStr">
        <is>
          <t>n/a (profile)</t>
        </is>
      </c>
      <c r="K9" t="inlineStr">
        <is>
          <t>unknown</t>
        </is>
      </c>
      <c r="L9" t="inlineStr">
        <is>
          <t>V4A option mentioned (variant)</t>
        </is>
      </c>
      <c r="M9" t="inlineStr">
        <is>
          <t>depends on drainage body</t>
        </is>
      </c>
      <c r="N9" t="inlineStr">
        <is>
          <t>https://eu.schluter.com/en-GB/drainage-312/e/22418/kerdi-line-vario-wave</t>
        </is>
      </c>
      <c r="O9" t="inlineStr">
        <is>
          <t>2026-01-02T11:58:03Z</t>
        </is>
      </c>
      <c r="P9" t="n">
        <v>1200</v>
      </c>
      <c r="Q9" t="n">
        <v>100</v>
      </c>
      <c r="R9" t="b">
        <v>1</v>
      </c>
      <c r="S9" t="inlineStr">
        <is>
          <t>not_complete_system</t>
        </is>
      </c>
      <c r="T9" t="b">
        <v>0</v>
      </c>
      <c r="U9" t="b">
        <v>0</v>
      </c>
      <c r="V9" t="inlineStr">
        <is>
          <t>eu.schluter.com</t>
        </is>
      </c>
      <c r="W9" t="inlineStr">
        <is>
          <t>2026-01-02T12:31:56Z</t>
        </is>
      </c>
    </row>
    <row r="10">
      <c r="A10" t="inlineStr">
        <is>
          <t>Geberit</t>
        </is>
      </c>
      <c r="B10" t="inlineStr">
        <is>
          <t>CleanLine</t>
        </is>
      </c>
      <c r="C10" t="inlineStr">
        <is>
          <t>CleanLine20 – shower channel (cut-to-length)</t>
        </is>
      </c>
      <c r="D10" t="inlineStr">
        <is>
          <t>cuttable</t>
        </is>
      </c>
      <c r="E10" t="inlineStr">
        <is>
          <t>cuttable (product family)</t>
        </is>
      </c>
      <c r="F10" t="n">
        <v>1200</v>
      </c>
      <c r="G10" t="n">
        <v>0</v>
      </c>
      <c r="H10" t="inlineStr">
        <is>
          <t>no (channel; installation set required)</t>
        </is>
      </c>
      <c r="I10" t="inlineStr">
        <is>
          <t>yes/variants</t>
        </is>
      </c>
      <c r="J10" t="inlineStr">
        <is>
          <t>depends on drain unit</t>
        </is>
      </c>
      <c r="K10" t="inlineStr">
        <is>
          <t>see installation set (e.g., 0.4 l/s @ 20mm head for DN40 set)</t>
        </is>
      </c>
      <c r="L10" t="inlineStr">
        <is>
          <t>stainless steel (grade not stated here)</t>
        </is>
      </c>
      <c r="M10" t="inlineStr">
        <is>
          <t>installation set may include non-woven sealing fabric</t>
        </is>
      </c>
      <c r="N10" t="inlineStr">
        <is>
          <t>https://catalog.geberit-global.com/en-SA/product/PRO_170946 | https://cdn.data.geberit.com/documents/966.838.00.0_03.pdf</t>
        </is>
      </c>
      <c r="O10" t="inlineStr">
        <is>
          <t>2026-01-02T11:58:03Z</t>
        </is>
      </c>
      <c r="P10" t="n">
        <v>1200</v>
      </c>
      <c r="Q10" t="n">
        <v>100</v>
      </c>
      <c r="R10" t="b">
        <v>1</v>
      </c>
      <c r="S10" t="inlineStr">
        <is>
          <t>not_complete_system</t>
        </is>
      </c>
      <c r="T10" t="b">
        <v>0</v>
      </c>
      <c r="U10" t="b">
        <v>0</v>
      </c>
      <c r="V10" t="inlineStr">
        <is>
          <t>catalog.geberit-global.com</t>
        </is>
      </c>
      <c r="W10" t="inlineStr">
        <is>
          <t>2026-01-02T12:31:56Z</t>
        </is>
      </c>
    </row>
    <row r="11">
      <c r="A11" t="inlineStr">
        <is>
          <t>TECE</t>
        </is>
      </c>
      <c r="B11" t="inlineStr">
        <is>
          <t>TECEdrainline</t>
        </is>
      </c>
      <c r="C11" t="inlineStr">
        <is>
          <t>TECEdrainline – modular shower channel (nominal lengths 700–1200)</t>
        </is>
      </c>
      <c r="D11" t="inlineStr">
        <is>
          <t>range</t>
        </is>
      </c>
      <c r="E11" t="inlineStr">
        <is>
          <t>700–1200</t>
        </is>
      </c>
      <c r="F11" t="n">
        <v>1200</v>
      </c>
      <c r="G11" t="n">
        <v>0</v>
      </c>
      <c r="H11" t="inlineStr">
        <is>
          <t>modular (channel + drain body)</t>
        </is>
      </c>
      <c r="I11" t="inlineStr">
        <is>
          <t>options</t>
        </is>
      </c>
      <c r="J11" t="inlineStr">
        <is>
          <t>unknown</t>
        </is>
      </c>
      <c r="K11" t="inlineStr">
        <is>
          <t>unknown</t>
        </is>
      </c>
      <c r="L11" t="inlineStr">
        <is>
          <t>varies; Evo with factory-fitted sealing collar</t>
        </is>
      </c>
      <c r="M11" t="inlineStr">
        <is>
          <t>yes (Evo: factory-fitted sealing collar)</t>
        </is>
      </c>
      <c r="N11" t="inlineStr">
        <is>
          <t>https://www.tece.com/en/drainage/tecedrainline-shower-channel/modular-system</t>
        </is>
      </c>
      <c r="O11" t="inlineStr">
        <is>
          <t>2026-01-02T11:58:03Z</t>
        </is>
      </c>
      <c r="P11" t="n">
        <v>1200</v>
      </c>
      <c r="Q11" t="n">
        <v>100</v>
      </c>
      <c r="R11" t="b">
        <v>1</v>
      </c>
      <c r="S11" t="inlineStr">
        <is>
          <t>modular_complete</t>
        </is>
      </c>
      <c r="T11" t="b">
        <v>1</v>
      </c>
      <c r="U11" t="b">
        <v>1</v>
      </c>
      <c r="V11" t="inlineStr">
        <is>
          <t>www.tece.com</t>
        </is>
      </c>
      <c r="W11" t="inlineStr">
        <is>
          <t>2026-01-02T12:31:56Z</t>
        </is>
      </c>
    </row>
    <row r="12">
      <c r="A12" t="inlineStr">
        <is>
          <t>Viega</t>
        </is>
      </c>
      <c r="B12" t="inlineStr">
        <is>
          <t>Advantix Vario</t>
        </is>
      </c>
      <c r="C12" t="inlineStr">
        <is>
          <t>Advantix Vario – shower channel variable 300–1200 (cuttable)</t>
        </is>
      </c>
      <c r="D12" t="inlineStr">
        <is>
          <t>cuttable</t>
        </is>
      </c>
      <c r="E12" t="inlineStr">
        <is>
          <t>300–1200</t>
        </is>
      </c>
      <c r="F12" t="n">
        <v>1200</v>
      </c>
      <c r="G12" t="n">
        <v>0</v>
      </c>
      <c r="H12" t="inlineStr">
        <is>
          <t>yes (per brochure: delivered with accessories)</t>
        </is>
      </c>
      <c r="I12" t="inlineStr">
        <is>
          <t>options (depending on grate/inlay)</t>
        </is>
      </c>
      <c r="J12" t="inlineStr">
        <is>
          <t>unknown</t>
        </is>
      </c>
      <c r="K12" t="inlineStr">
        <is>
          <t>unknown</t>
        </is>
      </c>
      <c r="L12" t="inlineStr">
        <is>
          <t>stainless variants; multiple colour variants</t>
        </is>
      </c>
      <c r="M12" t="inlineStr">
        <is>
          <t>unknown</t>
        </is>
      </c>
      <c r="N12" t="inlineStr">
        <is>
          <t>https://www.viega.com/content/dam/viegadm/en/temp/download_assets/com/734374_brochure_advantixvario_2_int_net.pdf</t>
        </is>
      </c>
      <c r="O12" t="inlineStr">
        <is>
          <t>2026-01-02T11:58:03Z</t>
        </is>
      </c>
      <c r="P12" t="n">
        <v>1200</v>
      </c>
      <c r="Q12" t="n">
        <v>100</v>
      </c>
      <c r="R12" t="b">
        <v>1</v>
      </c>
      <c r="S12" t="inlineStr">
        <is>
          <t>complete_set</t>
        </is>
      </c>
      <c r="T12" t="b">
        <v>1</v>
      </c>
      <c r="U12" t="b">
        <v>1</v>
      </c>
      <c r="V12" t="inlineStr">
        <is>
          <t>www.viega.com</t>
        </is>
      </c>
      <c r="W12" t="inlineStr">
        <is>
          <t>2026-01-02T12:31:56Z</t>
        </is>
      </c>
    </row>
    <row r="13">
      <c r="A13" t="inlineStr">
        <is>
          <t>Easy Drain</t>
        </is>
      </c>
      <c r="B13" t="inlineStr">
        <is>
          <t>Multi TAF</t>
        </is>
      </c>
      <c r="C13" t="inlineStr">
        <is>
          <t>Multi TAF – complete set, lengths 500–2000 (includes 1200), WPS pre-assembled</t>
        </is>
      </c>
      <c r="D13" t="inlineStr">
        <is>
          <t>range</t>
        </is>
      </c>
      <c r="E13" t="inlineStr">
        <is>
          <t>500–2000</t>
        </is>
      </c>
      <c r="F13" t="n">
        <v>1200</v>
      </c>
      <c r="G13" t="n">
        <v>0</v>
      </c>
      <c r="H13" t="inlineStr">
        <is>
          <t>yes</t>
        </is>
      </c>
      <c r="I13" t="inlineStr">
        <is>
          <t>option</t>
        </is>
      </c>
      <c r="J13" t="inlineStr">
        <is>
          <t>unknown</t>
        </is>
      </c>
      <c r="K13" t="inlineStr">
        <is>
          <t>according to EN 1253</t>
        </is>
      </c>
      <c r="L13" t="inlineStr">
        <is>
          <t>unknown</t>
        </is>
      </c>
      <c r="M13" t="inlineStr">
        <is>
          <t>yes (pre-assembled sealing membrane WPS)</t>
        </is>
      </c>
      <c r="N13" t="inlineStr">
        <is>
          <t>https://www.easydrain.com/product/multi-taf/</t>
        </is>
      </c>
      <c r="O13" t="inlineStr">
        <is>
          <t>2026-01-02T11:58:03Z</t>
        </is>
      </c>
      <c r="P13" t="n">
        <v>1200</v>
      </c>
      <c r="Q13" t="n">
        <v>100</v>
      </c>
      <c r="R13" t="b">
        <v>1</v>
      </c>
      <c r="S13" t="inlineStr">
        <is>
          <t>complete_set</t>
        </is>
      </c>
      <c r="T13" t="b">
        <v>1</v>
      </c>
      <c r="U13" t="b">
        <v>1</v>
      </c>
      <c r="V13" t="inlineStr">
        <is>
          <t>www.easydrain.com</t>
        </is>
      </c>
      <c r="W13" t="inlineStr">
        <is>
          <t>2026-01-02T12:31:56Z</t>
        </is>
      </c>
    </row>
    <row r="14">
      <c r="A14" t="inlineStr">
        <is>
          <t>Easy Drain</t>
        </is>
      </c>
      <c r="B14" t="inlineStr">
        <is>
          <t>Nano Wall</t>
        </is>
      </c>
      <c r="C14" t="inlineStr">
        <is>
          <t>Nano Wall – complete set, lengths 700–1200, drainage capacity 33 l/min</t>
        </is>
      </c>
      <c r="D14" t="inlineStr">
        <is>
          <t>range</t>
        </is>
      </c>
      <c r="E14" t="inlineStr">
        <is>
          <t>700–1200</t>
        </is>
      </c>
      <c r="F14" t="n">
        <v>1200</v>
      </c>
      <c r="G14" t="n">
        <v>0</v>
      </c>
      <c r="H14" t="inlineStr">
        <is>
          <t>yes</t>
        </is>
      </c>
      <c r="I14" t="inlineStr">
        <is>
          <t>tile adjustable frame</t>
        </is>
      </c>
      <c r="J14" t="inlineStr">
        <is>
          <t>unknown</t>
        </is>
      </c>
      <c r="K14" t="inlineStr">
        <is>
          <t>33</t>
        </is>
      </c>
      <c r="L14" t="inlineStr">
        <is>
          <t>unknown</t>
        </is>
      </c>
      <c r="M14" t="inlineStr">
        <is>
          <t>yes (Water Protection System)</t>
        </is>
      </c>
      <c r="N14" t="inlineStr">
        <is>
          <t>https://www.easydrain.com/product/nano-wall/</t>
        </is>
      </c>
      <c r="O14" t="inlineStr">
        <is>
          <t>2026-01-02T11:58:03Z</t>
        </is>
      </c>
      <c r="P14" t="n">
        <v>1200</v>
      </c>
      <c r="Q14" t="n">
        <v>100</v>
      </c>
      <c r="R14" t="b">
        <v>1</v>
      </c>
      <c r="S14" t="inlineStr">
        <is>
          <t>complete_set</t>
        </is>
      </c>
      <c r="T14" t="b">
        <v>1</v>
      </c>
      <c r="U14" t="b">
        <v>1</v>
      </c>
      <c r="V14" t="inlineStr">
        <is>
          <t>www.easydrain.com</t>
        </is>
      </c>
      <c r="W14" t="inlineStr">
        <is>
          <t>2026-01-02T12:31:56Z</t>
        </is>
      </c>
    </row>
    <row r="15">
      <c r="A15" t="inlineStr">
        <is>
          <t>Easy Drain</t>
        </is>
      </c>
      <c r="B15" t="inlineStr">
        <is>
          <t>S-line</t>
        </is>
      </c>
      <c r="C15" t="inlineStr">
        <is>
          <t>S-line – complete set, lengths 700–1200, WPS pre-assembled</t>
        </is>
      </c>
      <c r="D15" t="inlineStr">
        <is>
          <t>range</t>
        </is>
      </c>
      <c r="E15" t="inlineStr">
        <is>
          <t>700–1200</t>
        </is>
      </c>
      <c r="F15" t="n">
        <v>1200</v>
      </c>
      <c r="G15" t="n">
        <v>0</v>
      </c>
      <c r="H15" t="inlineStr">
        <is>
          <t>yes</t>
        </is>
      </c>
      <c r="I15" t="inlineStr">
        <is>
          <t>unknown</t>
        </is>
      </c>
      <c r="J15" t="inlineStr">
        <is>
          <t>unknown</t>
        </is>
      </c>
      <c r="K15" t="inlineStr">
        <is>
          <t>according to EN 1253</t>
        </is>
      </c>
      <c r="L15" t="inlineStr">
        <is>
          <t>unknown</t>
        </is>
      </c>
      <c r="M15" t="inlineStr">
        <is>
          <t>yes (WPS pre-assembled)</t>
        </is>
      </c>
      <c r="N15" t="inlineStr">
        <is>
          <t>https://www.easydrain.com/product/s-line/</t>
        </is>
      </c>
      <c r="O15" t="inlineStr">
        <is>
          <t>2026-01-02T11:58:03Z</t>
        </is>
      </c>
      <c r="P15" t="n">
        <v>1200</v>
      </c>
      <c r="Q15" t="n">
        <v>100</v>
      </c>
      <c r="R15" t="b">
        <v>1</v>
      </c>
      <c r="S15" t="inlineStr">
        <is>
          <t>complete_set</t>
        </is>
      </c>
      <c r="T15" t="b">
        <v>1</v>
      </c>
      <c r="U15" t="b">
        <v>1</v>
      </c>
      <c r="V15" t="inlineStr">
        <is>
          <t>www.easydrain.com</t>
        </is>
      </c>
      <c r="W15" t="inlineStr">
        <is>
          <t>2026-01-02T12:31:56Z</t>
        </is>
      </c>
    </row>
    <row r="16">
      <c r="A16" t="inlineStr">
        <is>
          <t>Easy Drain</t>
        </is>
      </c>
      <c r="B16" t="inlineStr">
        <is>
          <t>Modulo Basic</t>
        </is>
      </c>
      <c r="C16" t="inlineStr">
        <is>
          <t>Modulo Basic – complete set, lengths 500–1200, horizontal outlet, EN 1253</t>
        </is>
      </c>
      <c r="D16" t="inlineStr">
        <is>
          <t>range</t>
        </is>
      </c>
      <c r="E16" t="inlineStr">
        <is>
          <t>500–1200</t>
        </is>
      </c>
      <c r="F16" t="n">
        <v>1200</v>
      </c>
      <c r="G16" t="n">
        <v>0</v>
      </c>
      <c r="H16" t="inlineStr">
        <is>
          <t>yes</t>
        </is>
      </c>
      <c r="I16" t="inlineStr">
        <is>
          <t>options</t>
        </is>
      </c>
      <c r="J16" t="inlineStr">
        <is>
          <t>horizontal</t>
        </is>
      </c>
      <c r="K16" t="inlineStr">
        <is>
          <t>according to EN 1253</t>
        </is>
      </c>
      <c r="L16" t="inlineStr">
        <is>
          <t>unknown</t>
        </is>
      </c>
      <c r="M16" t="inlineStr">
        <is>
          <t>WPS (implied)</t>
        </is>
      </c>
      <c r="N16" t="inlineStr">
        <is>
          <t>https://www.easydrain.com/product/modulo-basic-polished-grate/</t>
        </is>
      </c>
      <c r="O16" t="inlineStr">
        <is>
          <t>2026-01-02T11:58:03Z</t>
        </is>
      </c>
      <c r="P16" t="n">
        <v>1200</v>
      </c>
      <c r="Q16" t="n">
        <v>100</v>
      </c>
      <c r="R16" t="b">
        <v>1</v>
      </c>
      <c r="S16" t="inlineStr">
        <is>
          <t>complete_set</t>
        </is>
      </c>
      <c r="T16" t="b">
        <v>1</v>
      </c>
      <c r="U16" t="b">
        <v>1</v>
      </c>
      <c r="V16" t="inlineStr">
        <is>
          <t>www.easydrain.com</t>
        </is>
      </c>
      <c r="W16" t="inlineStr">
        <is>
          <t>2026-01-02T12:31:56Z</t>
        </is>
      </c>
    </row>
    <row r="17">
      <c r="A17" t="inlineStr">
        <is>
          <t>Dallmer</t>
        </is>
      </c>
      <c r="B17" t="inlineStr">
        <is>
          <t>CeraLine</t>
        </is>
      </c>
      <c r="C17" t="inlineStr">
        <is>
          <t>CeraLine F – shower channel 1200 mm DN50 (horizontal outlet), DIN EN 1253 mentioned</t>
        </is>
      </c>
      <c r="D17" t="inlineStr">
        <is>
          <t>fixed</t>
        </is>
      </c>
      <c r="E17" t="inlineStr">
        <is>
          <t>1200</t>
        </is>
      </c>
      <c r="F17" t="n">
        <v>1200</v>
      </c>
      <c r="G17" t="n">
        <v>0</v>
      </c>
      <c r="H17" t="inlineStr">
        <is>
          <t>yes</t>
        </is>
      </c>
      <c r="I17" t="inlineStr">
        <is>
          <t>unknown</t>
        </is>
      </c>
      <c r="J17" t="inlineStr">
        <is>
          <t>horizontal</t>
        </is>
      </c>
      <c r="K17" t="inlineStr">
        <is>
          <t>unknown</t>
        </is>
      </c>
      <c r="L17" t="inlineStr">
        <is>
          <t>see specification on page</t>
        </is>
      </c>
      <c r="M17" t="inlineStr">
        <is>
          <t>unknown</t>
        </is>
      </c>
      <c r="N17" t="inlineStr">
        <is>
          <t>https://www.dallmer.com/int/produkte/520074_shower-channel-CeraLine-F-1200-mm-DN-50.php</t>
        </is>
      </c>
      <c r="O17" t="inlineStr">
        <is>
          <t>2026-01-02T11:58:03Z</t>
        </is>
      </c>
      <c r="P17" t="n">
        <v>1200</v>
      </c>
      <c r="Q17" t="n">
        <v>100</v>
      </c>
      <c r="R17" t="b">
        <v>1</v>
      </c>
      <c r="S17" t="inlineStr">
        <is>
          <t>complete_set</t>
        </is>
      </c>
      <c r="T17" t="b">
        <v>1</v>
      </c>
      <c r="U17" t="b">
        <v>1</v>
      </c>
      <c r="V17" t="inlineStr">
        <is>
          <t>www.dallmer.com</t>
        </is>
      </c>
      <c r="W17" t="inlineStr">
        <is>
          <t>2026-01-02T12:31:56Z</t>
        </is>
      </c>
    </row>
    <row r="18">
      <c r="A18" t="inlineStr">
        <is>
          <t>Dallmer</t>
        </is>
      </c>
      <c r="B18" t="inlineStr">
        <is>
          <t>CeraLine</t>
        </is>
      </c>
      <c r="C18" t="inlineStr">
        <is>
          <t>CeraLine W – shower channel 1200 mm DN50 (wall installation, horizontal outlet), DIN EN 1253 mentioned</t>
        </is>
      </c>
      <c r="D18" t="inlineStr">
        <is>
          <t>fixed</t>
        </is>
      </c>
      <c r="E18" t="inlineStr">
        <is>
          <t>1200</t>
        </is>
      </c>
      <c r="F18" t="n">
        <v>1200</v>
      </c>
      <c r="G18" t="n">
        <v>0</v>
      </c>
      <c r="H18" t="inlineStr">
        <is>
          <t>yes</t>
        </is>
      </c>
      <c r="I18" t="inlineStr">
        <is>
          <t>unknown</t>
        </is>
      </c>
      <c r="J18" t="inlineStr">
        <is>
          <t>horizontal</t>
        </is>
      </c>
      <c r="K18" t="inlineStr">
        <is>
          <t>unknown</t>
        </is>
      </c>
      <c r="L18" t="inlineStr">
        <is>
          <t>see specification on page</t>
        </is>
      </c>
      <c r="M18" t="inlineStr">
        <is>
          <t>unknown</t>
        </is>
      </c>
      <c r="N18" t="inlineStr">
        <is>
          <t>https://www.dallmer.com/be/produkte/520173_shower-channel-ceraline-w-1200-mm-dn-50.php</t>
        </is>
      </c>
      <c r="O18" t="inlineStr">
        <is>
          <t>2026-01-02T11:58:03Z</t>
        </is>
      </c>
      <c r="P18" t="n">
        <v>1200</v>
      </c>
      <c r="Q18" t="n">
        <v>100</v>
      </c>
      <c r="R18" t="b">
        <v>1</v>
      </c>
      <c r="S18" t="inlineStr">
        <is>
          <t>complete_set</t>
        </is>
      </c>
      <c r="T18" t="b">
        <v>1</v>
      </c>
      <c r="U18" t="b">
        <v>1</v>
      </c>
      <c r="V18" t="inlineStr">
        <is>
          <t>www.dallmer.com</t>
        </is>
      </c>
      <c r="W18" t="inlineStr">
        <is>
          <t>2026-01-02T12:31:56Z</t>
        </is>
      </c>
    </row>
    <row r="19">
      <c r="A19" t="inlineStr">
        <is>
          <t>Alcadrain</t>
        </is>
      </c>
      <c r="B19" t="inlineStr">
        <is>
          <t>Plastic linear shower drains</t>
        </is>
      </c>
      <c r="C19" t="inlineStr">
        <is>
          <t>APZ12/APZ22 Optimal – max length 1050 (nearest to 1200)</t>
        </is>
      </c>
      <c r="D19" t="inlineStr">
        <is>
          <t>fixed variants</t>
        </is>
      </c>
      <c r="E19" t="inlineStr">
        <is>
          <t>750;850;950;1050</t>
        </is>
      </c>
      <c r="F19" t="n">
        <v>1050</v>
      </c>
      <c r="G19" t="n">
        <v>-150</v>
      </c>
      <c r="H19" t="inlineStr">
        <is>
          <t>modular (grid may be separate)</t>
        </is>
      </c>
      <c r="I19" t="inlineStr">
        <is>
          <t>option (grids for embedding tiles)</t>
        </is>
      </c>
      <c r="J19" t="inlineStr">
        <is>
          <t>Ø50</t>
        </is>
      </c>
      <c r="K19" t="inlineStr">
        <is>
          <t>63</t>
        </is>
      </c>
      <c r="L19" t="inlineStr">
        <is>
          <t>plastic body</t>
        </is>
      </c>
      <c r="M19" t="inlineStr">
        <is>
          <t>unknown</t>
        </is>
      </c>
      <c r="N19" t="inlineStr">
        <is>
          <t>https://www.alcadrain.com/downloads?catid=276&amp;id=11907%3Aplastic-linear-shower-drains&amp;task=download.send</t>
        </is>
      </c>
      <c r="O19" t="inlineStr">
        <is>
          <t>2026-01-02T11:58:03Z</t>
        </is>
      </c>
      <c r="P19" t="n">
        <v>1200</v>
      </c>
      <c r="Q19" t="n">
        <v>100</v>
      </c>
      <c r="R19" t="b">
        <v>0</v>
      </c>
      <c r="S19" t="inlineStr">
        <is>
          <t>modular_complete</t>
        </is>
      </c>
      <c r="T19" t="b">
        <v>1</v>
      </c>
      <c r="U19" t="b">
        <v>0</v>
      </c>
      <c r="V19" t="inlineStr">
        <is>
          <t>www.alcadrain.com</t>
        </is>
      </c>
      <c r="W19" t="inlineStr">
        <is>
          <t>2026-01-02T12:31:56Z</t>
        </is>
      </c>
    </row>
    <row r="20">
      <c r="A20" t="inlineStr">
        <is>
          <t>hansgrohe</t>
        </is>
      </c>
      <c r="B20" t="inlineStr">
        <is>
          <t>RainDrain</t>
        </is>
      </c>
      <c r="C20" t="inlineStr">
        <is>
          <t>RainDrain Flex – Vrchní sada sprchového žlabu 1200 (56047800) – zkracovatelné</t>
        </is>
      </c>
      <c r="D20" t="inlineStr">
        <is>
          <t>cuttable</t>
        </is>
      </c>
      <c r="E20" t="inlineStr">
        <is>
          <t>1200 (cuttable)</t>
        </is>
      </c>
      <c r="F20" t="n">
        <v>1200</v>
      </c>
      <c r="G20" t="n">
        <v>0</v>
      </c>
      <c r="H20" t="inlineStr">
        <is>
          <t>no (finish/top set only)</t>
        </is>
      </c>
      <c r="I20" t="inlineStr">
        <is>
          <t>unknown</t>
        </is>
      </c>
      <c r="J20" t="inlineStr">
        <is>
          <t>unknown (depends base set)</t>
        </is>
      </c>
      <c r="K20" t="inlineStr">
        <is>
          <t>up to 60</t>
        </is>
      </c>
      <c r="L20" t="inlineStr">
        <is>
          <t>unknown</t>
        </is>
      </c>
      <c r="M20" t="inlineStr">
        <is>
          <t>unknown</t>
        </is>
      </c>
      <c r="N20" t="inlineStr">
        <is>
          <t>https://www.hansgrohe.cz/articledetail-raindrain-flex-vrchni-sada-sprchoveho-zlabu-1200-zkracovatelneho-pro-instalaci-volne-na-plochu-56047800</t>
        </is>
      </c>
      <c r="O20" t="inlineStr">
        <is>
          <t>2026-01-02T12:31:56Z</t>
        </is>
      </c>
      <c r="P20" t="n">
        <v>1200</v>
      </c>
      <c r="Q20" t="n">
        <v>100</v>
      </c>
      <c r="R20" t="b">
        <v>1</v>
      </c>
      <c r="S20" t="inlineStr">
        <is>
          <t>not_complete_system</t>
        </is>
      </c>
      <c r="T20" t="b">
        <v>0</v>
      </c>
      <c r="U20" t="b">
        <v>0</v>
      </c>
      <c r="V20" t="inlineStr">
        <is>
          <t>www.hansgrohe.cz</t>
        </is>
      </c>
      <c r="W20" t="inlineStr">
        <is>
          <t>2026-01-02T12:31:56Z</t>
        </is>
      </c>
    </row>
    <row r="21">
      <c r="A21" t="inlineStr">
        <is>
          <t>hansgrohe</t>
        </is>
      </c>
      <c r="B21" t="inlineStr">
        <is>
          <t>RainDrain</t>
        </is>
      </c>
      <c r="C21" t="inlineStr">
        <is>
          <t>RainDrain Match – Vrchní sada sprchového žlabu 1200 (56042800)</t>
        </is>
      </c>
      <c r="D21" t="inlineStr">
        <is>
          <t>fixed</t>
        </is>
      </c>
      <c r="E21" t="inlineStr">
        <is>
          <t>1200</t>
        </is>
      </c>
      <c r="F21" t="n">
        <v>1200</v>
      </c>
      <c r="G21" t="n">
        <v>0</v>
      </c>
      <c r="H21" t="inlineStr">
        <is>
          <t>no (finish/top set only)</t>
        </is>
      </c>
      <c r="I21" t="inlineStr">
        <is>
          <t>unknown</t>
        </is>
      </c>
      <c r="J21" t="inlineStr">
        <is>
          <t>unknown (depends base set)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https://www.hansgrohe.cz/articledetail-raindrain-match-vrchni-sada-sprchoveho-zlabu-1200-s-vyskove-stavitelnym-ramem-56042800</t>
        </is>
      </c>
      <c r="O21" t="inlineStr">
        <is>
          <t>2026-01-02T12:31:56Z</t>
        </is>
      </c>
      <c r="P21" t="n">
        <v>1200</v>
      </c>
      <c r="Q21" t="n">
        <v>100</v>
      </c>
      <c r="R21" t="b">
        <v>1</v>
      </c>
      <c r="S21" t="inlineStr">
        <is>
          <t>not_complete_system</t>
        </is>
      </c>
      <c r="T21" t="b">
        <v>0</v>
      </c>
      <c r="U21" t="b">
        <v>0</v>
      </c>
      <c r="V21" t="inlineStr">
        <is>
          <t>www.hansgrohe.cz</t>
        </is>
      </c>
      <c r="W21" t="inlineStr">
        <is>
          <t>2026-01-02T12:31:56Z</t>
        </is>
      </c>
    </row>
    <row r="22">
      <c r="A22" t="inlineStr">
        <is>
          <t>hansgrohe</t>
        </is>
      </c>
      <c r="B22" t="inlineStr">
        <is>
          <t>RainDrain</t>
        </is>
      </c>
      <c r="C22" t="inlineStr">
        <is>
          <t>RainDrain Allround – Úplná sada sprchového žlabu 1200 (56190800)</t>
        </is>
      </c>
      <c r="D22" t="inlineStr">
        <is>
          <t>fixed</t>
        </is>
      </c>
      <c r="E22" t="inlineStr">
        <is>
          <t>1200</t>
        </is>
      </c>
      <c r="F22" t="n">
        <v>1200</v>
      </c>
      <c r="G22" t="n">
        <v>0</v>
      </c>
      <c r="H22" t="inlineStr">
        <is>
          <t>yes</t>
        </is>
      </c>
      <c r="I22" t="inlineStr">
        <is>
          <t>unknown</t>
        </is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https://www.hansgrohe.cz/articledetail-raindrain-allround-uplna-sada-sprchoveho-zlabu-1200-pro-standardni-plochou-instalaci-56190800</t>
        </is>
      </c>
      <c r="O22" t="inlineStr">
        <is>
          <t>2026-01-02T12:31:56Z</t>
        </is>
      </c>
      <c r="P22" t="n">
        <v>1200</v>
      </c>
      <c r="Q22" t="n">
        <v>100</v>
      </c>
      <c r="R22" t="b">
        <v>1</v>
      </c>
      <c r="S22" t="inlineStr">
        <is>
          <t>complete_set</t>
        </is>
      </c>
      <c r="T22" t="b">
        <v>1</v>
      </c>
      <c r="U22" t="b">
        <v>1</v>
      </c>
      <c r="V22" t="inlineStr">
        <is>
          <t>www.hansgrohe.cz</t>
        </is>
      </c>
      <c r="W22" t="inlineStr">
        <is>
          <t>2026-01-02T12:31:56Z</t>
        </is>
      </c>
    </row>
    <row r="23">
      <c r="A23" t="inlineStr">
        <is>
          <t>hansgrohe</t>
        </is>
      </c>
      <c r="B23" t="inlineStr">
        <is>
          <t>RainDrain</t>
        </is>
      </c>
      <c r="C23" t="inlineStr">
        <is>
          <t>RainDrain Compact – Úplná sada sprchového žlabu 1200 pro plochou instalaci (56172800)</t>
        </is>
      </c>
      <c r="D23" t="inlineStr">
        <is>
          <t>fixed</t>
        </is>
      </c>
      <c r="E23" t="inlineStr">
        <is>
          <t>1200</t>
        </is>
      </c>
      <c r="F23" t="n">
        <v>1200</v>
      </c>
      <c r="G23" t="n">
        <v>0</v>
      </c>
      <c r="H23" t="inlineStr">
        <is>
          <t>yes</t>
        </is>
      </c>
      <c r="I23" t="inlineStr">
        <is>
          <t>unknown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předmontovaná těsnicí membrána (stated)</t>
        </is>
      </c>
      <c r="N23" t="inlineStr">
        <is>
          <t>https://www.hansgrohe.cz/articledetail-raindrain-compact-uplna-sada-sprchoveho-zlabu-1200-pro-plochou-instalaci-56172800</t>
        </is>
      </c>
      <c r="O23" t="inlineStr">
        <is>
          <t>2026-01-02T12:31:56Z</t>
        </is>
      </c>
      <c r="P23" t="n">
        <v>1200</v>
      </c>
      <c r="Q23" t="n">
        <v>100</v>
      </c>
      <c r="R23" t="b">
        <v>1</v>
      </c>
      <c r="S23" t="inlineStr">
        <is>
          <t>complete_set</t>
        </is>
      </c>
      <c r="T23" t="b">
        <v>1</v>
      </c>
      <c r="U23" t="b">
        <v>1</v>
      </c>
      <c r="V23" t="inlineStr">
        <is>
          <t>www.hansgrohe.cz</t>
        </is>
      </c>
      <c r="W23" t="inlineStr">
        <is>
          <t>2026-01-02T12:31:56Z</t>
        </is>
      </c>
    </row>
    <row r="24">
      <c r="A24" t="inlineStr">
        <is>
          <t>Schlüter-Systems</t>
        </is>
      </c>
      <c r="B24" t="inlineStr">
        <is>
          <t>KERDI-LINE</t>
        </is>
      </c>
      <c r="C24" t="inlineStr">
        <is>
          <t>Schlüter-KERDI-LINE-H – lineární odtok s horizontálním odtokem (CZ EU site)</t>
        </is>
      </c>
      <c r="D24" t="inlineStr">
        <is>
          <t>unknown (family)</t>
        </is>
      </c>
      <c r="E24" t="inlineStr">
        <is>
          <t>unknown (verify variants)</t>
        </is>
      </c>
      <c r="F24" t="n">
        <v>1200</v>
      </c>
      <c r="G24" t="n">
        <v>0</v>
      </c>
      <c r="H24" t="inlineStr">
        <is>
          <t>modular (channel body + grate/top section)</t>
        </is>
      </c>
      <c r="I24" t="inlineStr">
        <is>
          <t>unknown</t>
        </is>
      </c>
      <c r="J24" t="inlineStr">
        <is>
          <t>horizontal (DN40/50)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https://eu.schluter.com/cs-CZ/odvodneni-312/e/22093/kerdi-line-h</t>
        </is>
      </c>
      <c r="O24" t="inlineStr">
        <is>
          <t>2026-01-02T12:31:56Z</t>
        </is>
      </c>
      <c r="P24" t="n">
        <v>1200</v>
      </c>
      <c r="Q24" t="n">
        <v>100</v>
      </c>
      <c r="R24" t="b">
        <v>1</v>
      </c>
      <c r="S24" t="inlineStr">
        <is>
          <t>modular_complete</t>
        </is>
      </c>
      <c r="T24" t="b">
        <v>1</v>
      </c>
      <c r="U24" t="b">
        <v>1</v>
      </c>
      <c r="V24" t="inlineStr">
        <is>
          <t>eu.schluter.com</t>
        </is>
      </c>
      <c r="W24" t="inlineStr">
        <is>
          <t>2026-01-02T12:31:56Z</t>
        </is>
      </c>
    </row>
    <row r="25">
      <c r="A25" t="inlineStr">
        <is>
          <t>Geberit</t>
        </is>
      </c>
      <c r="B25" t="inlineStr">
        <is>
          <t>CleanLine</t>
        </is>
      </c>
      <c r="C25" t="inlineStr">
        <is>
          <t>Sprchový kanálek Geberit CleanLine50 (cut-to-length 30–130 cm) – catalog CZ</t>
        </is>
      </c>
      <c r="D25" t="inlineStr">
        <is>
          <t>cuttable</t>
        </is>
      </c>
      <c r="E25" t="inlineStr">
        <is>
          <t>300–1300</t>
        </is>
      </c>
      <c r="F25" t="n">
        <v>1200</v>
      </c>
      <c r="G25" t="n">
        <v>0</v>
      </c>
      <c r="H25" t="inlineStr">
        <is>
          <t>modular (channel + installation set required)</t>
        </is>
      </c>
      <c r="I25" t="inlineStr">
        <is>
          <t>unknown</t>
        </is>
      </c>
      <c r="J25" t="inlineStr">
        <is>
          <t>depends on installation set</t>
        </is>
      </c>
      <c r="K25" t="inlineStr">
        <is>
          <t>unknown (EN 1253-3 quality monitored)</t>
        </is>
      </c>
      <c r="L25" t="inlineStr">
        <is>
          <t>CrNiMo ocel 1.4404 (EN 10088)</t>
        </is>
      </c>
      <c r="M25" t="inlineStr">
        <is>
          <t>unknown</t>
        </is>
      </c>
      <c r="N25" t="inlineStr">
        <is>
          <t>https://catalog.geberit.cz/cs-CZ/product/PRO_4702328</t>
        </is>
      </c>
      <c r="O25" t="inlineStr">
        <is>
          <t>2026-01-02T12:31:56Z</t>
        </is>
      </c>
      <c r="P25" t="n">
        <v>1200</v>
      </c>
      <c r="Q25" t="n">
        <v>100</v>
      </c>
      <c r="R25" t="b">
        <v>1</v>
      </c>
      <c r="S25" t="inlineStr">
        <is>
          <t>modular_complete</t>
        </is>
      </c>
      <c r="T25" t="b">
        <v>1</v>
      </c>
      <c r="U25" t="b">
        <v>1</v>
      </c>
      <c r="V25" t="inlineStr">
        <is>
          <t>catalog.geberit.cz</t>
        </is>
      </c>
      <c r="W25" t="inlineStr">
        <is>
          <t>2026-01-02T12:31:56Z</t>
        </is>
      </c>
    </row>
    <row r="26">
      <c r="A26" t="inlineStr">
        <is>
          <t>Geberit</t>
        </is>
      </c>
      <c r="B26" t="inlineStr">
        <is>
          <t>CleanLine</t>
        </is>
      </c>
      <c r="C26" t="inlineStr">
        <is>
          <t>Sprchový kanálek Geberit CleanLine80 (cuttable) – catalog CZ</t>
        </is>
      </c>
      <c r="D26" t="inlineStr">
        <is>
          <t>cuttable</t>
        </is>
      </c>
      <c r="E26" t="inlineStr">
        <is>
          <t>(cuttable; see catalog)</t>
        </is>
      </c>
      <c r="F26" t="n">
        <v>1200</v>
      </c>
      <c r="G26" t="n">
        <v>0</v>
      </c>
      <c r="H26" t="inlineStr">
        <is>
          <t>modular (channel + installation set required)</t>
        </is>
      </c>
      <c r="I26" t="inlineStr">
        <is>
          <t>unknown</t>
        </is>
      </c>
      <c r="J26" t="inlineStr">
        <is>
          <t>depends on installation set</t>
        </is>
      </c>
      <c r="K26" t="inlineStr">
        <is>
          <t>unknown</t>
        </is>
      </c>
      <c r="L26" t="inlineStr">
        <is>
          <t>unknown (check page)</t>
        </is>
      </c>
      <c r="M26" t="inlineStr">
        <is>
          <t>unknown</t>
        </is>
      </c>
      <c r="N26" t="inlineStr">
        <is>
          <t>https://catalog.geberit.cz/cs-CZ/product/PRO_1447036</t>
        </is>
      </c>
      <c r="O26" t="inlineStr">
        <is>
          <t>2026-01-02T12:31:56Z</t>
        </is>
      </c>
      <c r="P26" t="n">
        <v>1200</v>
      </c>
      <c r="Q26" t="n">
        <v>100</v>
      </c>
      <c r="R26" t="b">
        <v>1</v>
      </c>
      <c r="S26" t="inlineStr">
        <is>
          <t>modular_complete</t>
        </is>
      </c>
      <c r="T26" t="b">
        <v>1</v>
      </c>
      <c r="U26" t="b">
        <v>1</v>
      </c>
      <c r="V26" t="inlineStr">
        <is>
          <t>catalog.geberit.cz</t>
        </is>
      </c>
      <c r="W26" t="inlineStr">
        <is>
          <t>2026-01-02T12:31:56Z</t>
        </is>
      </c>
    </row>
    <row r="27">
      <c r="A27" t="inlineStr">
        <is>
          <t>SCHÜTTE</t>
        </is>
      </c>
      <c r="B27" t="inlineStr">
        <is>
          <t>Duschrinne</t>
        </is>
      </c>
      <c r="C27" t="inlineStr">
        <is>
          <t>SCHÜTTE Duschrinne 800 mm mit Edelstahlabdeckung (ID 10025) – found in Verkaufshits list</t>
        </is>
      </c>
      <c r="D27" t="inlineStr">
        <is>
          <t>fixed</t>
        </is>
      </c>
      <c r="E27" t="inlineStr">
        <is>
          <t>800</t>
        </is>
      </c>
      <c r="F27" t="n">
        <v>800</v>
      </c>
      <c r="G27" t="n">
        <v>-400</v>
      </c>
      <c r="H27" t="inlineStr">
        <is>
          <t>unknown (retail-style SKU)</t>
        </is>
      </c>
      <c r="I27" t="inlineStr">
        <is>
          <t>unknown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  <c r="N27" t="inlineStr">
        <is>
          <t>https://fjschuette.com/de/verkaufshits?page=5</t>
        </is>
      </c>
      <c r="O27" t="inlineStr">
        <is>
          <t>2026-01-02T12:31:56Z</t>
        </is>
      </c>
      <c r="P27" t="n">
        <v>1200</v>
      </c>
      <c r="Q27" t="n">
        <v>100</v>
      </c>
      <c r="R27" t="b">
        <v>0</v>
      </c>
      <c r="S27" t="inlineStr">
        <is>
          <t>not_complete_system</t>
        </is>
      </c>
      <c r="T27" t="b">
        <v>0</v>
      </c>
      <c r="U27" t="b">
        <v>0</v>
      </c>
      <c r="V27" t="inlineStr">
        <is>
          <t>fjschuette.com</t>
        </is>
      </c>
      <c r="W27" t="inlineStr">
        <is>
          <t>2026-01-02T12:31:56Z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  <col width="20" customWidth="1" min="4" max="4"/>
    <col width="17" customWidth="1" min="5" max="5"/>
    <col width="21" customWidth="1" min="6" max="6"/>
    <col width="23" customWidth="1" min="7" max="7"/>
    <col width="26" customWidth="1" min="8" max="8"/>
    <col width="24" customWidth="1" min="9" max="9"/>
    <col width="45" customWidth="1" min="10" max="10"/>
    <col width="55" customWidth="1" min="11" max="11"/>
  </cols>
  <sheetData>
    <row r="1" ht="30" customHeight="1">
      <c r="A1" s="1" t="inlineStr">
        <is>
          <t>manufacturer</t>
        </is>
      </c>
      <c r="B1" s="1" t="inlineStr">
        <is>
          <t>product_family</t>
        </is>
      </c>
      <c r="C1" s="1" t="inlineStr">
        <is>
          <t>product</t>
        </is>
      </c>
      <c r="D1" s="1" t="inlineStr">
        <is>
          <t>selected_length_mm</t>
        </is>
      </c>
      <c r="E1" s="1" t="inlineStr">
        <is>
          <t>length_delta_mm</t>
        </is>
      </c>
      <c r="F1" s="1" t="inlineStr">
        <is>
          <t>system_completeness</t>
        </is>
      </c>
      <c r="G1" s="1" t="inlineStr">
        <is>
          <t>eligible_length_match</t>
        </is>
      </c>
      <c r="H1" s="1" t="inlineStr">
        <is>
          <t>eligible_complete_system</t>
        </is>
      </c>
      <c r="I1" s="1" t="inlineStr">
        <is>
          <t>eligible_for_benchmark</t>
        </is>
      </c>
      <c r="J1" s="1" t="inlineStr">
        <is>
          <t>exclusion_reason</t>
        </is>
      </c>
      <c r="K1" s="1" t="inlineStr">
        <is>
          <t>sources</t>
        </is>
      </c>
    </row>
    <row r="2">
      <c r="A2" t="inlineStr">
        <is>
          <t>hansgrohe</t>
        </is>
      </c>
      <c r="B2" t="inlineStr">
        <is>
          <t>RainDrain</t>
        </is>
      </c>
      <c r="C2" t="inlineStr">
        <is>
          <t>RainDrain Original – Finish set shower drain 1200 (56201800)</t>
        </is>
      </c>
      <c r="D2" t="n">
        <v>1200</v>
      </c>
      <c r="E2" t="n">
        <v>0</v>
      </c>
      <c r="F2" t="inlineStr">
        <is>
          <t>not_complete_system</t>
        </is>
      </c>
      <c r="G2" t="b">
        <v>1</v>
      </c>
      <c r="H2" t="b">
        <v>0</v>
      </c>
      <c r="I2" t="b">
        <v>0</v>
      </c>
      <c r="J2" t="inlineStr">
        <is>
          <t>not_complete_system</t>
        </is>
      </c>
      <c r="K2" t="inlineStr">
        <is>
          <t>https://www.hansgrohe.com/articledetail-raindrain-original-finish-set-shower-drain-1200-56201800</t>
        </is>
      </c>
    </row>
    <row r="3">
      <c r="A3" t="inlineStr">
        <is>
          <t>Schlüter-Systems</t>
        </is>
      </c>
      <c r="B3" t="inlineStr">
        <is>
          <t>KERDI-LINE</t>
        </is>
      </c>
      <c r="C3" t="inlineStr">
        <is>
          <t>KERDI-LINE-V – Complete set for vertical linear drainage</t>
        </is>
      </c>
      <c r="F3" t="inlineStr">
        <is>
          <t>complete_set</t>
        </is>
      </c>
      <c r="G3" t="b">
        <v>0</v>
      </c>
      <c r="H3" t="b">
        <v>1</v>
      </c>
      <c r="I3" t="b">
        <v>0</v>
      </c>
      <c r="J3" t="inlineStr">
        <is>
          <t>length_unknown</t>
        </is>
      </c>
      <c r="K3" t="inlineStr">
        <is>
          <t>https://eu.schluter.com/en-GB/drainage-312/e/22137/kerdi-line-v</t>
        </is>
      </c>
    </row>
    <row r="4">
      <c r="A4" t="inlineStr">
        <is>
          <t>Schlüter-Systems</t>
        </is>
      </c>
      <c r="B4" t="inlineStr">
        <is>
          <t>KERDI-LINE-VARIO</t>
        </is>
      </c>
      <c r="C4" t="inlineStr">
        <is>
          <t>KERDI-LINE-VARIO-COVE – drainage profile 120/180 cm, cuttable</t>
        </is>
      </c>
      <c r="D4" t="n">
        <v>1200</v>
      </c>
      <c r="E4" t="n">
        <v>0</v>
      </c>
      <c r="F4" t="inlineStr">
        <is>
          <t>not_complete_system</t>
        </is>
      </c>
      <c r="G4" t="b">
        <v>1</v>
      </c>
      <c r="H4" t="b">
        <v>0</v>
      </c>
      <c r="I4" t="b">
        <v>0</v>
      </c>
      <c r="J4" t="inlineStr">
        <is>
          <t>not_complete_system</t>
        </is>
      </c>
      <c r="K4" t="inlineStr">
        <is>
          <t>https://eu.schluter.com/en-DE/drainage-312/e/22408/kerdi-line-vario-cove</t>
        </is>
      </c>
    </row>
    <row r="5">
      <c r="A5" t="inlineStr">
        <is>
          <t>Schlüter-Systems</t>
        </is>
      </c>
      <c r="B5" t="inlineStr">
        <is>
          <t>KERDI-LINE-VARIO</t>
        </is>
      </c>
      <c r="C5" t="inlineStr">
        <is>
          <t>KERDI-LINE-VARIO-WAVE – drainage profile 120/180 cm, cuttable</t>
        </is>
      </c>
      <c r="D5" t="n">
        <v>1200</v>
      </c>
      <c r="E5" t="n">
        <v>0</v>
      </c>
      <c r="F5" t="inlineStr">
        <is>
          <t>not_complete_system</t>
        </is>
      </c>
      <c r="G5" t="b">
        <v>1</v>
      </c>
      <c r="H5" t="b">
        <v>0</v>
      </c>
      <c r="I5" t="b">
        <v>0</v>
      </c>
      <c r="J5" t="inlineStr">
        <is>
          <t>not_complete_system</t>
        </is>
      </c>
      <c r="K5" t="inlineStr">
        <is>
          <t>https://eu.schluter.com/en-GB/drainage-312/e/22418/kerdi-line-vario-wave</t>
        </is>
      </c>
    </row>
    <row r="6">
      <c r="A6" t="inlineStr">
        <is>
          <t>Geberit</t>
        </is>
      </c>
      <c r="B6" t="inlineStr">
        <is>
          <t>CleanLine</t>
        </is>
      </c>
      <c r="C6" t="inlineStr">
        <is>
          <t>CleanLine20 – shower channel (cut-to-length)</t>
        </is>
      </c>
      <c r="D6" t="n">
        <v>1200</v>
      </c>
      <c r="E6" t="n">
        <v>0</v>
      </c>
      <c r="F6" t="inlineStr">
        <is>
          <t>not_complete_system</t>
        </is>
      </c>
      <c r="G6" t="b">
        <v>1</v>
      </c>
      <c r="H6" t="b">
        <v>0</v>
      </c>
      <c r="I6" t="b">
        <v>0</v>
      </c>
      <c r="J6" t="inlineStr">
        <is>
          <t>not_complete_system</t>
        </is>
      </c>
      <c r="K6" t="inlineStr">
        <is>
          <t>https://catalog.geberit-global.com/en-SA/product/PRO_170946 | https://cdn.data.geberit.com/documents/966.838.00.0_03.pdf</t>
        </is>
      </c>
    </row>
    <row r="7">
      <c r="A7" t="inlineStr">
        <is>
          <t>Alcadrain</t>
        </is>
      </c>
      <c r="B7" t="inlineStr">
        <is>
          <t>Plastic linear shower drains</t>
        </is>
      </c>
      <c r="C7" t="inlineStr">
        <is>
          <t>APZ12/APZ22 Optimal – max length 1050 (nearest to 1200)</t>
        </is>
      </c>
      <c r="D7" t="n">
        <v>1050</v>
      </c>
      <c r="E7" t="n">
        <v>-150</v>
      </c>
      <c r="F7" t="inlineStr">
        <is>
          <t>modular_complete</t>
        </is>
      </c>
      <c r="G7" t="b">
        <v>0</v>
      </c>
      <c r="H7" t="b">
        <v>1</v>
      </c>
      <c r="I7" t="b">
        <v>0</v>
      </c>
      <c r="J7" t="inlineStr">
        <is>
          <t>out_of_length_tolerance</t>
        </is>
      </c>
      <c r="K7" t="inlineStr">
        <is>
          <t>https://www.alcadrain.com/downloads?catid=276&amp;id=11907%3Aplastic-linear-shower-drains&amp;task=download.send</t>
        </is>
      </c>
    </row>
    <row r="8">
      <c r="A8" t="inlineStr">
        <is>
          <t>hansgrohe</t>
        </is>
      </c>
      <c r="B8" t="inlineStr">
        <is>
          <t>RainDrain</t>
        </is>
      </c>
      <c r="C8" t="inlineStr">
        <is>
          <t>RainDrain Flex – Vrchní sada sprchového žlabu 1200 (56047800) – zkracovatelné</t>
        </is>
      </c>
      <c r="D8" t="n">
        <v>1200</v>
      </c>
      <c r="E8" t="n">
        <v>0</v>
      </c>
      <c r="F8" t="inlineStr">
        <is>
          <t>not_complete_system</t>
        </is>
      </c>
      <c r="G8" t="b">
        <v>1</v>
      </c>
      <c r="H8" t="b">
        <v>0</v>
      </c>
      <c r="I8" t="b">
        <v>0</v>
      </c>
      <c r="J8" t="inlineStr">
        <is>
          <t>not_complete_system</t>
        </is>
      </c>
      <c r="K8" t="inlineStr">
        <is>
          <t>https://www.hansgrohe.cz/articledetail-raindrain-flex-vrchni-sada-sprchoveho-zlabu-1200-zkracovatelneho-pro-instalaci-volne-na-plochu-56047800</t>
        </is>
      </c>
    </row>
    <row r="9">
      <c r="A9" t="inlineStr">
        <is>
          <t>hansgrohe</t>
        </is>
      </c>
      <c r="B9" t="inlineStr">
        <is>
          <t>RainDrain</t>
        </is>
      </c>
      <c r="C9" t="inlineStr">
        <is>
          <t>RainDrain Match – Vrchní sada sprchového žlabu 1200 (56042800)</t>
        </is>
      </c>
      <c r="D9" t="n">
        <v>1200</v>
      </c>
      <c r="E9" t="n">
        <v>0</v>
      </c>
      <c r="F9" t="inlineStr">
        <is>
          <t>not_complete_system</t>
        </is>
      </c>
      <c r="G9" t="b">
        <v>1</v>
      </c>
      <c r="H9" t="b">
        <v>0</v>
      </c>
      <c r="I9" t="b">
        <v>0</v>
      </c>
      <c r="J9" t="inlineStr">
        <is>
          <t>not_complete_system</t>
        </is>
      </c>
      <c r="K9" t="inlineStr">
        <is>
          <t>https://www.hansgrohe.cz/articledetail-raindrain-match-vrchni-sada-sprchoveho-zlabu-1200-s-vyskove-stavitelnym-ramem-56042800</t>
        </is>
      </c>
    </row>
    <row r="10">
      <c r="A10" t="inlineStr">
        <is>
          <t>SCHÜTTE</t>
        </is>
      </c>
      <c r="B10" t="inlineStr">
        <is>
          <t>Duschrinne</t>
        </is>
      </c>
      <c r="C10" t="inlineStr">
        <is>
          <t>SCHÜTTE Duschrinne 800 mm mit Edelstahlabdeckung (ID 10025) – found in Verkaufshits list</t>
        </is>
      </c>
      <c r="D10" t="n">
        <v>800</v>
      </c>
      <c r="E10" t="n">
        <v>-400</v>
      </c>
      <c r="F10" t="inlineStr">
        <is>
          <t>not_complete_system</t>
        </is>
      </c>
      <c r="G10" t="b">
        <v>0</v>
      </c>
      <c r="H10" t="b">
        <v>0</v>
      </c>
      <c r="I10" t="b">
        <v>0</v>
      </c>
      <c r="J10" t="inlineStr">
        <is>
          <t>out_of_length_tolerance;not_complete_system</t>
        </is>
      </c>
      <c r="K10" t="inlineStr">
        <is>
          <t>https://fjschuette.com/de/verkaufshits?page=5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55" customWidth="1" min="4" max="4"/>
    <col width="18" customWidth="1" min="5" max="5"/>
    <col width="20" customWidth="1" min="6" max="6"/>
    <col width="17" customWidth="1" min="7" max="7"/>
    <col width="55" customWidth="1" min="8" max="8"/>
    <col width="15" customWidth="1" min="9" max="9"/>
    <col width="16" customWidth="1" min="10" max="10"/>
    <col width="14" customWidth="1" min="11" max="11"/>
    <col width="17" customWidth="1" min="12" max="12"/>
    <col width="18" customWidth="1" min="13" max="13"/>
    <col width="22" customWidth="1" min="14" max="14"/>
    <col width="19" customWidth="1" min="15" max="15"/>
    <col width="19" customWidth="1" min="16" max="16"/>
    <col width="17" customWidth="1" min="17" max="17"/>
    <col width="17" customWidth="1" min="18" max="18"/>
    <col width="13" customWidth="1" min="19" max="19"/>
    <col width="19" customWidth="1" min="20" max="20"/>
    <col width="29" customWidth="1" min="21" max="21"/>
    <col width="15" customWidth="1" min="22" max="22"/>
    <col width="14" customWidth="1" min="23" max="23"/>
    <col width="19" customWidth="1" min="24" max="24"/>
    <col width="18" customWidth="1" min="25" max="25"/>
    <col width="18" customWidth="1" min="26" max="26"/>
    <col width="13" customWidth="1" min="27" max="27"/>
    <col width="20" customWidth="1" min="28" max="28"/>
    <col width="21" customWidth="1" min="29" max="29"/>
    <col width="10" customWidth="1" min="30" max="30"/>
    <col width="13" customWidth="1" min="31" max="31"/>
    <col width="13" customWidth="1" min="32" max="32"/>
    <col width="13" customWidth="1" min="33" max="33"/>
  </cols>
  <sheetData>
    <row r="1" ht="30" customHeight="1">
      <c r="A1" s="1" t="inlineStr">
        <is>
          <t>product_id</t>
        </is>
      </c>
      <c r="B1" s="1" t="inlineStr">
        <is>
          <t>manufacturer</t>
        </is>
      </c>
      <c r="C1" s="1" t="inlineStr">
        <is>
          <t>product_family</t>
        </is>
      </c>
      <c r="D1" s="1" t="inlineStr">
        <is>
          <t>product_name</t>
        </is>
      </c>
      <c r="E1" s="1" t="inlineStr">
        <is>
          <t>target_length_mm</t>
        </is>
      </c>
      <c r="F1" s="1" t="inlineStr">
        <is>
          <t>selected_length_mm</t>
        </is>
      </c>
      <c r="G1" s="1" t="inlineStr">
        <is>
          <t>length_delta_mm</t>
        </is>
      </c>
      <c r="H1" s="1" t="inlineStr">
        <is>
          <t>product_url</t>
        </is>
      </c>
      <c r="I1" s="1" t="inlineStr">
        <is>
          <t>flow_rate_lps</t>
        </is>
      </c>
      <c r="J1" s="1" t="inlineStr">
        <is>
          <t>flow_rate_note</t>
        </is>
      </c>
      <c r="K1" s="1" t="inlineStr">
        <is>
          <t>material_v4a</t>
        </is>
      </c>
      <c r="L1" s="1" t="inlineStr">
        <is>
          <t>material_detail</t>
        </is>
      </c>
      <c r="M1" s="1" t="inlineStr">
        <is>
          <t>din_en_1253_cert</t>
        </is>
      </c>
      <c r="N1" s="1" t="inlineStr">
        <is>
          <t>din_18534_compliance</t>
        </is>
      </c>
      <c r="O1" s="1" t="inlineStr">
        <is>
          <t>height_adj_min_mm</t>
        </is>
      </c>
      <c r="P1" s="1" t="inlineStr">
        <is>
          <t>height_adj_max_mm</t>
        </is>
      </c>
      <c r="Q1" s="1" t="inlineStr">
        <is>
          <t>height_adj_note</t>
        </is>
      </c>
      <c r="R1" s="1" t="inlineStr">
        <is>
          <t>outlet_vertical</t>
        </is>
      </c>
      <c r="S1" s="1" t="inlineStr">
        <is>
          <t>outlet_side</t>
        </is>
      </c>
      <c r="T1" s="1" t="inlineStr">
        <is>
          <t>outlet_selectable</t>
        </is>
      </c>
      <c r="U1" s="1" t="inlineStr">
        <is>
          <t>sealing_fleece_preassembled</t>
        </is>
      </c>
      <c r="V1" s="1" t="inlineStr">
        <is>
          <t>colours_count</t>
        </is>
      </c>
      <c r="W1" s="1" t="inlineStr">
        <is>
          <t>colours_note</t>
        </is>
      </c>
      <c r="X1" s="1" t="inlineStr">
        <is>
          <t>bom_options_count</t>
        </is>
      </c>
      <c r="Y1" s="1" t="inlineStr">
        <is>
          <t>chosen_option_id</t>
        </is>
      </c>
      <c r="Z1" s="1" t="inlineStr">
        <is>
          <t>min_price_de_eur</t>
        </is>
      </c>
      <c r="AA1" s="1" t="inlineStr">
        <is>
          <t>price_basis</t>
        </is>
      </c>
      <c r="AB1" s="1" t="inlineStr">
        <is>
          <t>price_sources_used</t>
        </is>
      </c>
      <c r="AC1" s="1" t="inlineStr">
        <is>
          <t>price_timestamp_iso</t>
        </is>
      </c>
      <c r="AD1" s="1" t="inlineStr">
        <is>
          <t>notes</t>
        </is>
      </c>
      <c r="AE1" s="1" t="inlineStr">
        <is>
          <t>min_price_de_eur_any</t>
        </is>
      </c>
      <c r="AF1" s="1" t="inlineStr">
        <is>
          <t>min_price_de_eur_regular</t>
        </is>
      </c>
      <c r="AG1" s="1" t="inlineStr">
        <is>
          <t>price_promo_policy</t>
        </is>
      </c>
      <c r="AH1" t="inlineStr">
        <is>
          <t>installation_position</t>
        </is>
      </c>
      <c r="AI1" t="inlineStr">
        <is>
          <t>tileable</t>
        </is>
      </c>
      <c r="AJ1" t="inlineStr">
        <is>
          <t>outlet_dn</t>
        </is>
      </c>
      <c r="AK1" t="inlineStr">
        <is>
          <t>overall_height_mm</t>
        </is>
      </c>
      <c r="AL1" t="inlineStr">
        <is>
          <t>material_inferred</t>
        </is>
      </c>
      <c r="AM1" t="inlineStr">
        <is>
          <t>material_inference_note</t>
        </is>
      </c>
      <c r="AN1" t="inlineStr">
        <is>
          <t>equivalence_score</t>
        </is>
      </c>
      <c r="AO1" t="inlineStr">
        <is>
          <t>equivalence_notes</t>
        </is>
      </c>
      <c r="AP1" t="inlineStr">
        <is>
          <t>selected_option_id</t>
        </is>
      </c>
      <c r="AQ1" t="inlineStr">
        <is>
          <t>option_eligible</t>
        </is>
      </c>
      <c r="AR1" t="inlineStr">
        <is>
          <t>equivalence_score_0_100</t>
        </is>
      </c>
      <c r="AS1" t="inlineStr">
        <is>
          <t>parameter_score_0_100</t>
        </is>
      </c>
      <c r="AT1" t="inlineStr">
        <is>
          <t>final_score_0_100</t>
        </is>
      </c>
    </row>
    <row r="2">
      <c r="A2" t="inlineStr">
        <is>
          <t>HANSGROHE-001</t>
        </is>
      </c>
      <c r="B2" t="inlineStr">
        <is>
          <t>hansgrohe</t>
        </is>
      </c>
      <c r="C2" t="inlineStr">
        <is>
          <t>RainDrain</t>
        </is>
      </c>
      <c r="D2" t="inlineStr">
        <is>
          <t>RainDrain Compact – Complete set shower drain 1200 (56184800)</t>
        </is>
      </c>
      <c r="E2" t="n">
        <v>1200</v>
      </c>
      <c r="F2" t="n">
        <v>1200</v>
      </c>
      <c r="G2" t="n">
        <v>0</v>
      </c>
      <c r="H2" t="inlineStr">
        <is>
          <t>https://www.hansgrohe.com/articledetail-raindrain-compact-complete-set-shower-drain-1200-for-standard-installation-56184800</t>
        </is>
      </c>
      <c r="AG2" t="inlineStr">
        <is>
          <t>prefer_non_promo</t>
        </is>
      </c>
    </row>
    <row r="3">
      <c r="A3" t="inlineStr">
        <is>
          <t>HANSGROHE-002</t>
        </is>
      </c>
      <c r="B3" t="inlineStr">
        <is>
          <t>hansgrohe</t>
        </is>
      </c>
      <c r="C3" t="inlineStr">
        <is>
          <t>RainDrain</t>
        </is>
      </c>
      <c r="D3" t="inlineStr">
        <is>
          <t>RainDrain Allround – Complete set shower drain 1200 (56190800)</t>
        </is>
      </c>
      <c r="E3" t="n">
        <v>1200</v>
      </c>
      <c r="F3" t="n">
        <v>1200</v>
      </c>
      <c r="G3" t="n">
        <v>0</v>
      </c>
      <c r="H3" t="inlineStr">
        <is>
          <t>https://www.hansgrohe.com/articledetail-raindrain-allround-complete-set-shower-drain-1200-for-standard-flat-installation-56190800</t>
        </is>
      </c>
      <c r="AG3" t="inlineStr">
        <is>
          <t>prefer_non_promo</t>
        </is>
      </c>
    </row>
    <row r="4">
      <c r="A4" t="inlineStr">
        <is>
          <t>HANSGROHE-003</t>
        </is>
      </c>
      <c r="B4" t="inlineStr">
        <is>
          <t>hansgrohe</t>
        </is>
      </c>
      <c r="C4" t="inlineStr">
        <is>
          <t>RainDrain</t>
        </is>
      </c>
      <c r="D4" t="inlineStr">
        <is>
          <t>RainDrain Go – Complete set shower drain 1200 tileable rear cover (56276670)</t>
        </is>
      </c>
      <c r="E4" t="n">
        <v>1200</v>
      </c>
      <c r="F4" t="n">
        <v>1200</v>
      </c>
      <c r="G4" t="n">
        <v>0</v>
      </c>
      <c r="H4" t="inlineStr">
        <is>
          <t>https://www.hansgrohe.com/articledetail-raindrain-go-complete-set-shower-drain-1200-tileable-rear-cover-standard-flat-installation-56276670</t>
        </is>
      </c>
      <c r="AG4" t="inlineStr">
        <is>
          <t>prefer_non_promo</t>
        </is>
      </c>
    </row>
    <row r="5">
      <c r="A5" t="inlineStr">
        <is>
          <t>SCHLÜTER-SYSTEMS-004</t>
        </is>
      </c>
      <c r="B5" t="inlineStr">
        <is>
          <t>Schlüter-Systems</t>
        </is>
      </c>
      <c r="C5" t="inlineStr">
        <is>
          <t>KERDI-LINE</t>
        </is>
      </c>
      <c r="D5" t="inlineStr">
        <is>
          <t>KERDI-LINE-G3 – Complete set (height 78 mm; lengths include up to 1200)</t>
        </is>
      </c>
      <c r="E5" t="n">
        <v>1200</v>
      </c>
      <c r="F5" t="n">
        <v>1200</v>
      </c>
      <c r="G5" t="n">
        <v>0</v>
      </c>
      <c r="H5" t="inlineStr">
        <is>
          <t>https://eu.schluter.com/en-GB/drainage-312/e/33224/kerdi-line-g3</t>
        </is>
      </c>
      <c r="AG5" t="inlineStr">
        <is>
          <t>prefer_non_promo</t>
        </is>
      </c>
    </row>
    <row r="6">
      <c r="A6" t="inlineStr">
        <is>
          <t>TECE-005</t>
        </is>
      </c>
      <c r="B6" t="inlineStr">
        <is>
          <t>TECE</t>
        </is>
      </c>
      <c r="C6" t="inlineStr">
        <is>
          <t>TECEdrainline</t>
        </is>
      </c>
      <c r="D6" t="inlineStr">
        <is>
          <t>TECEdrainline – modular shower channel (nominal lengths 700–1200)</t>
        </is>
      </c>
      <c r="E6" t="n">
        <v>1200</v>
      </c>
      <c r="F6" t="n">
        <v>1200</v>
      </c>
      <c r="G6" t="n">
        <v>0</v>
      </c>
      <c r="H6" t="inlineStr">
        <is>
          <t>https://www.tece.com/en/drainage/tecedrainline-shower-channel/modular-system</t>
        </is>
      </c>
      <c r="AG6" t="inlineStr">
        <is>
          <t>prefer_non_promo</t>
        </is>
      </c>
    </row>
    <row r="7">
      <c r="A7" t="inlineStr">
        <is>
          <t>VIEGA-006</t>
        </is>
      </c>
      <c r="B7" t="inlineStr">
        <is>
          <t>Viega</t>
        </is>
      </c>
      <c r="C7" t="inlineStr">
        <is>
          <t>Advantix Vario</t>
        </is>
      </c>
      <c r="D7" t="inlineStr">
        <is>
          <t>Advantix Vario – shower channel variable 300–1200 (cuttable)</t>
        </is>
      </c>
      <c r="E7" t="n">
        <v>1200</v>
      </c>
      <c r="F7" t="n">
        <v>1200</v>
      </c>
      <c r="G7" t="n">
        <v>0</v>
      </c>
      <c r="H7" t="inlineStr">
        <is>
          <t>https://www.viega.com/content/dam/viegadm/en/temp/download_assets/com/734374_brochure_advantixvario_2_int_net.pdf</t>
        </is>
      </c>
      <c r="AG7" t="inlineStr">
        <is>
          <t>prefer_non_promo</t>
        </is>
      </c>
    </row>
    <row r="8">
      <c r="A8" t="inlineStr">
        <is>
          <t>EASY_DRAIN-007</t>
        </is>
      </c>
      <c r="B8" t="inlineStr">
        <is>
          <t>Easy Drain</t>
        </is>
      </c>
      <c r="C8" t="inlineStr">
        <is>
          <t>Multi TAF</t>
        </is>
      </c>
      <c r="D8" t="inlineStr">
        <is>
          <t>Multi TAF – complete set, lengths 500–2000 (includes 1200), WPS pre-assembled</t>
        </is>
      </c>
      <c r="E8" t="n">
        <v>1200</v>
      </c>
      <c r="F8" t="n">
        <v>1200</v>
      </c>
      <c r="G8" t="n">
        <v>0</v>
      </c>
      <c r="H8" t="inlineStr">
        <is>
          <t>https://www.easydrain.com/product/multi-taf/</t>
        </is>
      </c>
      <c r="AG8" t="inlineStr">
        <is>
          <t>prefer_non_promo</t>
        </is>
      </c>
    </row>
    <row r="9">
      <c r="A9" t="inlineStr">
        <is>
          <t>EASY_DRAIN-008</t>
        </is>
      </c>
      <c r="B9" t="inlineStr">
        <is>
          <t>Easy Drain</t>
        </is>
      </c>
      <c r="C9" t="inlineStr">
        <is>
          <t>Nano Wall</t>
        </is>
      </c>
      <c r="D9" t="inlineStr">
        <is>
          <t>Nano Wall – complete set, lengths 700–1200, drainage capacity 33 l/min</t>
        </is>
      </c>
      <c r="E9" t="n">
        <v>1200</v>
      </c>
      <c r="F9" t="n">
        <v>1200</v>
      </c>
      <c r="G9" t="n">
        <v>0</v>
      </c>
      <c r="H9" t="inlineStr">
        <is>
          <t>https://www.easydrain.com/product/nano-wall/</t>
        </is>
      </c>
      <c r="AG9" t="inlineStr">
        <is>
          <t>prefer_non_promo</t>
        </is>
      </c>
    </row>
    <row r="10">
      <c r="A10" t="inlineStr">
        <is>
          <t>EASY_DRAIN-009</t>
        </is>
      </c>
      <c r="B10" t="inlineStr">
        <is>
          <t>Easy Drain</t>
        </is>
      </c>
      <c r="C10" t="inlineStr">
        <is>
          <t>S-line</t>
        </is>
      </c>
      <c r="D10" t="inlineStr">
        <is>
          <t>S-line – complete set, lengths 700–1200, WPS pre-assembled</t>
        </is>
      </c>
      <c r="E10" t="n">
        <v>1200</v>
      </c>
      <c r="F10" t="n">
        <v>1200</v>
      </c>
      <c r="G10" t="n">
        <v>0</v>
      </c>
      <c r="H10" t="inlineStr">
        <is>
          <t>https://www.easydrain.com/product/s-line/</t>
        </is>
      </c>
      <c r="AG10" t="inlineStr">
        <is>
          <t>prefer_non_promo</t>
        </is>
      </c>
    </row>
    <row r="11">
      <c r="A11" t="inlineStr">
        <is>
          <t>EASY_DRAIN-010</t>
        </is>
      </c>
      <c r="B11" t="inlineStr">
        <is>
          <t>Easy Drain</t>
        </is>
      </c>
      <c r="C11" t="inlineStr">
        <is>
          <t>Modulo Basic</t>
        </is>
      </c>
      <c r="D11" t="inlineStr">
        <is>
          <t>Modulo Basic – complete set, lengths 500–1200, horizontal outlet, EN 1253</t>
        </is>
      </c>
      <c r="E11" t="n">
        <v>1200</v>
      </c>
      <c r="F11" t="n">
        <v>1200</v>
      </c>
      <c r="G11" t="n">
        <v>0</v>
      </c>
      <c r="H11" t="inlineStr">
        <is>
          <t>https://www.easydrain.com/product/modulo-basic-polished-grate/</t>
        </is>
      </c>
      <c r="AG11" t="inlineStr">
        <is>
          <t>prefer_non_promo</t>
        </is>
      </c>
    </row>
    <row r="12">
      <c r="A12" t="inlineStr">
        <is>
          <t>DALLMER-011</t>
        </is>
      </c>
      <c r="B12" t="inlineStr">
        <is>
          <t>Dallmer</t>
        </is>
      </c>
      <c r="C12" t="inlineStr">
        <is>
          <t>CeraLine</t>
        </is>
      </c>
      <c r="D12" t="inlineStr">
        <is>
          <t>CeraLine F – shower channel 1200 mm DN50 (horizontal outlet), DIN EN 1253 mentioned</t>
        </is>
      </c>
      <c r="E12" t="n">
        <v>1200</v>
      </c>
      <c r="F12" t="n">
        <v>1200</v>
      </c>
      <c r="G12" t="n">
        <v>0</v>
      </c>
      <c r="H12" t="inlineStr">
        <is>
          <t>https://www.dallmer.com/int/produkte/520074_shower-channel-CeraLine-F-1200-mm-DN-50.php</t>
        </is>
      </c>
      <c r="AG12" t="inlineStr">
        <is>
          <t>prefer_non_promo</t>
        </is>
      </c>
    </row>
    <row r="13">
      <c r="A13" t="inlineStr">
        <is>
          <t>DALLMER-012</t>
        </is>
      </c>
      <c r="B13" t="inlineStr">
        <is>
          <t>Dallmer</t>
        </is>
      </c>
      <c r="C13" t="inlineStr">
        <is>
          <t>CeraLine</t>
        </is>
      </c>
      <c r="D13" t="inlineStr">
        <is>
          <t>CeraLine W – shower channel 1200 mm DN50 (wall installation, horizontal outlet), DIN EN 1253 mentioned</t>
        </is>
      </c>
      <c r="E13" t="n">
        <v>1200</v>
      </c>
      <c r="F13" t="n">
        <v>1200</v>
      </c>
      <c r="G13" t="n">
        <v>0</v>
      </c>
      <c r="H13" t="inlineStr">
        <is>
          <t>https://www.dallmer.com/be/produkte/520173_shower-channel-ceraline-w-1200-mm-dn-50.php</t>
        </is>
      </c>
      <c r="AG13" t="inlineStr">
        <is>
          <t>prefer_non_promo</t>
        </is>
      </c>
    </row>
    <row r="14">
      <c r="A14" t="inlineStr">
        <is>
          <t>HANSGROHE-013</t>
        </is>
      </c>
      <c r="B14" t="inlineStr">
        <is>
          <t>hansgrohe</t>
        </is>
      </c>
      <c r="C14" t="inlineStr">
        <is>
          <t>RainDrain</t>
        </is>
      </c>
      <c r="D14" t="inlineStr">
        <is>
          <t>RainDrain Allround – Úplná sada sprchového žlabu 1200 (56190800)</t>
        </is>
      </c>
      <c r="E14" t="n">
        <v>1200</v>
      </c>
      <c r="F14" t="n">
        <v>1200</v>
      </c>
      <c r="G14" t="n">
        <v>0</v>
      </c>
      <c r="H14" t="inlineStr">
        <is>
          <t>https://www.hansgrohe.cz/articledetail-raindrain-allround-uplna-sada-sprchoveho-zlabu-1200-pro-standardni-plochou-instalaci-56190800</t>
        </is>
      </c>
      <c r="AG14" t="inlineStr">
        <is>
          <t>prefer_non_promo</t>
        </is>
      </c>
    </row>
    <row r="15">
      <c r="A15" t="inlineStr">
        <is>
          <t>HANSGROHE-014</t>
        </is>
      </c>
      <c r="B15" t="inlineStr">
        <is>
          <t>hansgrohe</t>
        </is>
      </c>
      <c r="C15" t="inlineStr">
        <is>
          <t>RainDrain</t>
        </is>
      </c>
      <c r="D15" t="inlineStr">
        <is>
          <t>RainDrain Compact – Úplná sada sprchového žlabu 1200 pro plochou instalaci (56172800)</t>
        </is>
      </c>
      <c r="E15" t="n">
        <v>1200</v>
      </c>
      <c r="F15" t="n">
        <v>1200</v>
      </c>
      <c r="G15" t="n">
        <v>0</v>
      </c>
      <c r="H15" t="inlineStr">
        <is>
          <t>https://www.hansgrohe.cz/articledetail-raindrain-compact-uplna-sada-sprchoveho-zlabu-1200-pro-plochou-instalaci-56172800</t>
        </is>
      </c>
      <c r="AG15" t="inlineStr">
        <is>
          <t>prefer_non_promo</t>
        </is>
      </c>
    </row>
    <row r="16">
      <c r="A16" t="inlineStr">
        <is>
          <t>SCHLÜTER-SYSTEMS-015</t>
        </is>
      </c>
      <c r="B16" t="inlineStr">
        <is>
          <t>Schlüter-Systems</t>
        </is>
      </c>
      <c r="C16" t="inlineStr">
        <is>
          <t>KERDI-LINE</t>
        </is>
      </c>
      <c r="D16" t="inlineStr">
        <is>
          <t>Schlüter-KERDI-LINE-H – lineární odtok s horizontálním odtokem (CZ EU site)</t>
        </is>
      </c>
      <c r="E16" t="n">
        <v>1200</v>
      </c>
      <c r="F16" t="n">
        <v>1200</v>
      </c>
      <c r="G16" t="n">
        <v>0</v>
      </c>
      <c r="H16" t="inlineStr">
        <is>
          <t>https://eu.schluter.com/cs-CZ/odvodneni-312/e/22093/kerdi-line-h</t>
        </is>
      </c>
      <c r="AG16" t="inlineStr">
        <is>
          <t>prefer_non_promo</t>
        </is>
      </c>
    </row>
    <row r="17">
      <c r="A17" t="inlineStr">
        <is>
          <t>GEBERIT-016</t>
        </is>
      </c>
      <c r="B17" t="inlineStr">
        <is>
          <t>Geberit</t>
        </is>
      </c>
      <c r="C17" t="inlineStr">
        <is>
          <t>CleanLine</t>
        </is>
      </c>
      <c r="D17" t="inlineStr">
        <is>
          <t>Sprchový kanálek Geberit CleanLine50 (cut-to-length 30–130 cm) – catalog CZ</t>
        </is>
      </c>
      <c r="E17" t="n">
        <v>1200</v>
      </c>
      <c r="F17" t="n">
        <v>1200</v>
      </c>
      <c r="G17" t="n">
        <v>0</v>
      </c>
      <c r="H17" t="inlineStr">
        <is>
          <t>https://catalog.geberit.cz/cs-CZ/product/PRO_4702328</t>
        </is>
      </c>
      <c r="AG17" t="inlineStr">
        <is>
          <t>prefer_non_promo</t>
        </is>
      </c>
    </row>
    <row r="18">
      <c r="A18" t="inlineStr">
        <is>
          <t>GEBERIT-017</t>
        </is>
      </c>
      <c r="B18" t="inlineStr">
        <is>
          <t>Geberit</t>
        </is>
      </c>
      <c r="C18" t="inlineStr">
        <is>
          <t>CleanLine</t>
        </is>
      </c>
      <c r="D18" t="inlineStr">
        <is>
          <t>Sprchový kanálek Geberit CleanLine80 (cuttable) – catalog CZ</t>
        </is>
      </c>
      <c r="E18" t="n">
        <v>1200</v>
      </c>
      <c r="F18" t="n">
        <v>1200</v>
      </c>
      <c r="G18" t="n">
        <v>0</v>
      </c>
      <c r="H18" t="inlineStr">
        <is>
          <t>https://catalog.geberit.cz/cs-CZ/product/PRO_1447036</t>
        </is>
      </c>
      <c r="AG18" t="inlineStr">
        <is>
          <t>prefer_non_promo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55" customWidth="1" min="4" max="4"/>
    <col width="22" customWidth="1" min="5" max="5"/>
    <col width="21" customWidth="1" min="6" max="6"/>
    <col width="17" customWidth="1" min="7" max="7"/>
    <col width="13" customWidth="1" min="8" max="8"/>
    <col width="19" customWidth="1" min="9" max="9"/>
    <col width="19" customWidth="1" min="10" max="10"/>
    <col width="19" customWidth="1" min="11" max="11"/>
    <col width="14" customWidth="1" min="12" max="12"/>
    <col width="17" customWidth="1" min="13" max="13"/>
    <col width="18" customWidth="1" min="14" max="14"/>
    <col width="22" customWidth="1" min="15" max="15"/>
    <col width="29" customWidth="1" min="16" max="16"/>
    <col width="15" customWidth="1" min="17" max="17"/>
    <col width="17" customWidth="1" min="18" max="18"/>
    <col width="19" customWidth="1" min="19" max="19"/>
    <col width="10" customWidth="1" min="20" max="20"/>
  </cols>
  <sheetData>
    <row r="1" ht="30" customHeight="1">
      <c r="A1" s="1" t="inlineStr">
        <is>
          <t>product_id</t>
        </is>
      </c>
      <c r="B1" s="1" t="inlineStr">
        <is>
          <t>option_id</t>
        </is>
      </c>
      <c r="C1" s="1" t="inlineStr">
        <is>
          <t>option_name</t>
        </is>
      </c>
      <c r="D1" s="1" t="inlineStr">
        <is>
          <t>option_notes</t>
        </is>
      </c>
      <c r="E1" s="1" t="inlineStr">
        <is>
          <t>option_flow_rate_lps</t>
        </is>
      </c>
      <c r="F1" s="1" t="inlineStr">
        <is>
          <t>meets_min_flow_rate</t>
        </is>
      </c>
      <c r="G1" s="1" t="inlineStr">
        <is>
          <t>outlet_vertical</t>
        </is>
      </c>
      <c r="H1" s="1" t="inlineStr">
        <is>
          <t>outlet_side</t>
        </is>
      </c>
      <c r="I1" s="1" t="inlineStr">
        <is>
          <t>outlet_selectable</t>
        </is>
      </c>
      <c r="J1" s="1" t="inlineStr">
        <is>
          <t>height_adj_min_mm</t>
        </is>
      </c>
      <c r="K1" s="1" t="inlineStr">
        <is>
          <t>height_adj_max_mm</t>
        </is>
      </c>
      <c r="L1" s="1" t="inlineStr">
        <is>
          <t>material_v4a</t>
        </is>
      </c>
      <c r="M1" s="1" t="inlineStr">
        <is>
          <t>material_detail</t>
        </is>
      </c>
      <c r="N1" s="1" t="inlineStr">
        <is>
          <t>din_en_1253_cert</t>
        </is>
      </c>
      <c r="O1" s="1" t="inlineStr">
        <is>
          <t>din_18534_compliance</t>
        </is>
      </c>
      <c r="P1" s="1" t="inlineStr">
        <is>
          <t>sealing_fleece_preassembled</t>
        </is>
      </c>
      <c r="Q1" s="1" t="inlineStr">
        <is>
          <t>colours_count</t>
        </is>
      </c>
      <c r="R1" s="1" t="inlineStr">
        <is>
          <t>option_eligible</t>
        </is>
      </c>
      <c r="S1" s="1" t="inlineStr">
        <is>
          <t>eligibility_notes</t>
        </is>
      </c>
      <c r="T1" s="1" t="n"/>
      <c r="U1" t="inlineStr">
        <is>
          <t>installation_position</t>
        </is>
      </c>
      <c r="V1" t="inlineStr">
        <is>
          <t>tileable</t>
        </is>
      </c>
      <c r="W1" t="inlineStr">
        <is>
          <t>outlet_dn</t>
        </is>
      </c>
      <c r="X1" t="inlineStr">
        <is>
          <t>overall_height_mm</t>
        </is>
      </c>
      <c r="Y1" t="inlineStr">
        <is>
          <t>material_inferred</t>
        </is>
      </c>
      <c r="Z1" t="inlineStr">
        <is>
          <t>material_inference_note</t>
        </is>
      </c>
      <c r="AA1" t="inlineStr">
        <is>
          <t>equivalence_score</t>
        </is>
      </c>
      <c r="AB1" t="inlineStr">
        <is>
          <t>equivalence_notes</t>
        </is>
      </c>
      <c r="AC1" t="inlineStr">
        <is>
          <t>selected_option_id</t>
        </is>
      </c>
    </row>
    <row r="2">
      <c r="A2" t="inlineStr">
        <is>
          <t>HANSGROHE-001</t>
        </is>
      </c>
      <c r="B2" t="inlineStr">
        <is>
          <t>OPT-001</t>
        </is>
      </c>
      <c r="C2" t="inlineStr">
        <is>
          <t>Default (TBD)</t>
        </is>
      </c>
      <c r="D2" t="inlineStr">
        <is>
          <t>Auto-generated placeholder; agent will add all valid drain/body variants.</t>
        </is>
      </c>
    </row>
    <row r="3">
      <c r="A3" t="inlineStr">
        <is>
          <t>HANSGROHE-002</t>
        </is>
      </c>
      <c r="B3" t="inlineStr">
        <is>
          <t>OPT-001</t>
        </is>
      </c>
      <c r="C3" t="inlineStr">
        <is>
          <t>Default (TBD)</t>
        </is>
      </c>
      <c r="D3" t="inlineStr">
        <is>
          <t>Auto-generated placeholder; agent will add all valid drain/body variants.</t>
        </is>
      </c>
    </row>
    <row r="4">
      <c r="A4" t="inlineStr">
        <is>
          <t>HANSGROHE-003</t>
        </is>
      </c>
      <c r="B4" t="inlineStr">
        <is>
          <t>OPT-001</t>
        </is>
      </c>
      <c r="C4" t="inlineStr">
        <is>
          <t>Default (TBD)</t>
        </is>
      </c>
      <c r="D4" t="inlineStr">
        <is>
          <t>Auto-generated placeholder; agent will add all valid drain/body variants.</t>
        </is>
      </c>
    </row>
    <row r="5">
      <c r="A5" t="inlineStr">
        <is>
          <t>SCHLÜTER-SYSTEMS-004</t>
        </is>
      </c>
      <c r="B5" t="inlineStr">
        <is>
          <t>OPT-001</t>
        </is>
      </c>
      <c r="C5" t="inlineStr">
        <is>
          <t>Default (TBD)</t>
        </is>
      </c>
      <c r="D5" t="inlineStr">
        <is>
          <t>Auto-generated placeholder; agent will add all valid drain/body variants.</t>
        </is>
      </c>
    </row>
    <row r="6">
      <c r="A6" t="inlineStr">
        <is>
          <t>TECE-005</t>
        </is>
      </c>
      <c r="B6" t="inlineStr">
        <is>
          <t>OPT-001</t>
        </is>
      </c>
      <c r="C6" t="inlineStr">
        <is>
          <t>Default (TBD)</t>
        </is>
      </c>
      <c r="D6" t="inlineStr">
        <is>
          <t>Auto-generated placeholder; agent will add all valid drain/body variants.</t>
        </is>
      </c>
    </row>
    <row r="7">
      <c r="A7" t="inlineStr">
        <is>
          <t>VIEGA-006</t>
        </is>
      </c>
      <c r="B7" t="inlineStr">
        <is>
          <t>OPT-001</t>
        </is>
      </c>
      <c r="C7" t="inlineStr">
        <is>
          <t>Default (TBD)</t>
        </is>
      </c>
      <c r="D7" t="inlineStr">
        <is>
          <t>Auto-generated placeholder; agent will add all valid drain/body variants.</t>
        </is>
      </c>
    </row>
    <row r="8">
      <c r="A8" t="inlineStr">
        <is>
          <t>EASY_DRAIN-007</t>
        </is>
      </c>
      <c r="B8" t="inlineStr">
        <is>
          <t>OPT-001</t>
        </is>
      </c>
      <c r="C8" t="inlineStr">
        <is>
          <t>Default (TBD)</t>
        </is>
      </c>
      <c r="D8" t="inlineStr">
        <is>
          <t>Auto-generated placeholder; agent will add all valid drain/body variants.</t>
        </is>
      </c>
    </row>
    <row r="9">
      <c r="A9" t="inlineStr">
        <is>
          <t>EASY_DRAIN-008</t>
        </is>
      </c>
      <c r="B9" t="inlineStr">
        <is>
          <t>OPT-001</t>
        </is>
      </c>
      <c r="C9" t="inlineStr">
        <is>
          <t>Default (TBD)</t>
        </is>
      </c>
      <c r="D9" t="inlineStr">
        <is>
          <t>Auto-generated placeholder; agent will add all valid drain/body variants.</t>
        </is>
      </c>
    </row>
    <row r="10">
      <c r="A10" t="inlineStr">
        <is>
          <t>EASY_DRAIN-009</t>
        </is>
      </c>
      <c r="B10" t="inlineStr">
        <is>
          <t>OPT-001</t>
        </is>
      </c>
      <c r="C10" t="inlineStr">
        <is>
          <t>Default (TBD)</t>
        </is>
      </c>
      <c r="D10" t="inlineStr">
        <is>
          <t>Auto-generated placeholder; agent will add all valid drain/body variants.</t>
        </is>
      </c>
    </row>
    <row r="11">
      <c r="A11" t="inlineStr">
        <is>
          <t>EASY_DRAIN-010</t>
        </is>
      </c>
      <c r="B11" t="inlineStr">
        <is>
          <t>OPT-001</t>
        </is>
      </c>
      <c r="C11" t="inlineStr">
        <is>
          <t>Default (TBD)</t>
        </is>
      </c>
      <c r="D11" t="inlineStr">
        <is>
          <t>Auto-generated placeholder; agent will add all valid drain/body variants.</t>
        </is>
      </c>
    </row>
    <row r="12">
      <c r="A12" t="inlineStr">
        <is>
          <t>DALLMER-011</t>
        </is>
      </c>
      <c r="B12" t="inlineStr">
        <is>
          <t>OPT-001</t>
        </is>
      </c>
      <c r="C12" t="inlineStr">
        <is>
          <t>Default (TBD)</t>
        </is>
      </c>
      <c r="D12" t="inlineStr">
        <is>
          <t>Auto-generated placeholder; agent will add all valid drain/body variants.</t>
        </is>
      </c>
    </row>
    <row r="13">
      <c r="A13" t="inlineStr">
        <is>
          <t>DALLMER-012</t>
        </is>
      </c>
      <c r="B13" t="inlineStr">
        <is>
          <t>OPT-001</t>
        </is>
      </c>
      <c r="C13" t="inlineStr">
        <is>
          <t>Default (TBD)</t>
        </is>
      </c>
      <c r="D13" t="inlineStr">
        <is>
          <t>Auto-generated placeholder; agent will add all valid drain/body variants.</t>
        </is>
      </c>
    </row>
    <row r="14">
      <c r="A14" t="inlineStr">
        <is>
          <t>HANSGROHE-013</t>
        </is>
      </c>
      <c r="B14" t="inlineStr">
        <is>
          <t>OPT-001</t>
        </is>
      </c>
      <c r="C14" t="inlineStr">
        <is>
          <t>Default (TBD)</t>
        </is>
      </c>
      <c r="D14" t="inlineStr">
        <is>
          <t>Auto-generated placeholder; agent will add all valid drain/body variants.</t>
        </is>
      </c>
    </row>
    <row r="15">
      <c r="A15" t="inlineStr">
        <is>
          <t>HANSGROHE-014</t>
        </is>
      </c>
      <c r="B15" t="inlineStr">
        <is>
          <t>OPT-001</t>
        </is>
      </c>
      <c r="C15" t="inlineStr">
        <is>
          <t>Default (TBD)</t>
        </is>
      </c>
      <c r="D15" t="inlineStr">
        <is>
          <t>Auto-generated placeholder; agent will add all valid drain/body variants.</t>
        </is>
      </c>
    </row>
    <row r="16">
      <c r="A16" t="inlineStr">
        <is>
          <t>SCHLÜTER-SYSTEMS-015</t>
        </is>
      </c>
      <c r="B16" t="inlineStr">
        <is>
          <t>OPT-001</t>
        </is>
      </c>
      <c r="C16" t="inlineStr">
        <is>
          <t>Default (TBD)</t>
        </is>
      </c>
      <c r="D16" t="inlineStr">
        <is>
          <t>Auto-generated placeholder; agent will add all valid drain/body variants.</t>
        </is>
      </c>
    </row>
    <row r="17">
      <c r="A17" t="inlineStr">
        <is>
          <t>GEBERIT-016</t>
        </is>
      </c>
      <c r="B17" t="inlineStr">
        <is>
          <t>OPT-001</t>
        </is>
      </c>
      <c r="C17" t="inlineStr">
        <is>
          <t>Default (TBD)</t>
        </is>
      </c>
      <c r="D17" t="inlineStr">
        <is>
          <t>Auto-generated placeholder; agent will add all valid drain/body variants.</t>
        </is>
      </c>
    </row>
    <row r="18">
      <c r="A18" t="inlineStr">
        <is>
          <t>GEBERIT-017</t>
        </is>
      </c>
      <c r="B18" t="inlineStr">
        <is>
          <t>OPT-001</t>
        </is>
      </c>
      <c r="C18" t="inlineStr">
        <is>
          <t>Default (TBD)</t>
        </is>
      </c>
      <c r="D18" t="inlineStr">
        <is>
          <t>Auto-generated placeholder; agent will add all valid drain/body variants.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4" customWidth="1" min="4" max="4"/>
    <col width="16" customWidth="1" min="5" max="5"/>
    <col width="19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 ht="30" customHeight="1">
      <c r="A1" s="1" t="inlineStr">
        <is>
          <t>product_id</t>
        </is>
      </c>
      <c r="B1" s="1" t="inlineStr">
        <is>
          <t>option_id</t>
        </is>
      </c>
      <c r="C1" s="1" t="inlineStr">
        <is>
          <t>component_role</t>
        </is>
      </c>
      <c r="D1" s="1" t="inlineStr">
        <is>
          <t>manufacturer</t>
        </is>
      </c>
      <c r="E1" s="1" t="inlineStr">
        <is>
          <t>component_name</t>
        </is>
      </c>
      <c r="F1" s="1" t="inlineStr">
        <is>
          <t>component_item_no</t>
        </is>
      </c>
      <c r="G1" s="1" t="inlineStr">
        <is>
          <t>EAN</t>
        </is>
      </c>
      <c r="H1" s="1" t="inlineStr">
        <is>
          <t>required_qty</t>
        </is>
      </c>
      <c r="I1" s="1" t="inlineStr">
        <is>
          <t>source_url</t>
        </is>
      </c>
      <c r="J1" s="1" t="inlineStr">
        <is>
          <t>notes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20" customWidth="1" min="7" max="7"/>
    <col width="19" customWidth="1" min="8" max="8"/>
    <col width="10" customWidth="1" min="9" max="9"/>
    <col width="11" customWidth="1" min="10" max="10"/>
    <col width="24" customWidth="1" min="11" max="11"/>
    <col width="10" customWidth="1" min="12" max="12"/>
  </cols>
  <sheetData>
    <row r="1" ht="30" customHeight="1">
      <c r="A1" s="1" t="inlineStr">
        <is>
          <t>offer_level</t>
        </is>
      </c>
      <c r="B1" s="1" t="inlineStr">
        <is>
          <t>item_key</t>
        </is>
      </c>
      <c r="C1" s="1" t="inlineStr">
        <is>
          <t>product_id</t>
        </is>
      </c>
      <c r="D1" s="1" t="inlineStr">
        <is>
          <t>option_id</t>
        </is>
      </c>
      <c r="E1" s="1" t="inlineStr">
        <is>
          <t>retailer</t>
        </is>
      </c>
      <c r="F1" s="1" t="inlineStr">
        <is>
          <t>price_eur</t>
        </is>
      </c>
      <c r="G1" s="1" t="inlineStr">
        <is>
          <t>price_includes_vat</t>
        </is>
      </c>
      <c r="H1" s="1" t="inlineStr">
        <is>
          <t>shipping_included</t>
        </is>
      </c>
      <c r="I1" s="1" t="inlineStr">
        <is>
          <t>is_promo</t>
        </is>
      </c>
      <c r="J1" s="1" t="inlineStr">
        <is>
          <t>offer_url</t>
        </is>
      </c>
      <c r="K1" s="1" t="inlineStr">
        <is>
          <t>captured_timestamp_iso</t>
        </is>
      </c>
      <c r="L1" s="1" t="inlineStr">
        <is>
          <t>notes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8" customWidth="1" min="4" max="4"/>
    <col width="11" customWidth="1" min="5" max="5"/>
    <col width="15" customWidth="1" min="6" max="6"/>
    <col width="12" customWidth="1" min="7" max="7"/>
    <col width="13" customWidth="1" min="8" max="8"/>
    <col width="17" customWidth="1" min="9" max="9"/>
    <col width="24" customWidth="1" min="10" max="10"/>
  </cols>
  <sheetData>
    <row r="1" ht="30" customHeight="1">
      <c r="A1" s="1" t="inlineStr">
        <is>
          <t>product_id</t>
        </is>
      </c>
      <c r="B1" s="1" t="inlineStr">
        <is>
          <t>option_id</t>
        </is>
      </c>
      <c r="C1" s="1" t="inlineStr">
        <is>
          <t>attribute</t>
        </is>
      </c>
      <c r="D1" s="1" t="inlineStr">
        <is>
          <t>value_normalized</t>
        </is>
      </c>
      <c r="E1" s="1" t="inlineStr">
        <is>
          <t>value_raw</t>
        </is>
      </c>
      <c r="F1" s="1" t="inlineStr">
        <is>
          <t>evidence_text</t>
        </is>
      </c>
      <c r="G1" s="1" t="inlineStr">
        <is>
          <t>source_url</t>
        </is>
      </c>
      <c r="H1" s="1" t="inlineStr">
        <is>
          <t>source_type</t>
        </is>
      </c>
      <c r="I1" s="1" t="inlineStr">
        <is>
          <t>page_or_section</t>
        </is>
      </c>
      <c r="J1" s="1" t="inlineStr">
        <is>
          <t>captured_timestamp_iso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20" customWidth="1" min="5" max="5"/>
    <col width="15" customWidth="1" min="6" max="6"/>
    <col width="15" customWidth="1" min="7" max="7"/>
    <col width="18" customWidth="1" min="8" max="8"/>
    <col width="22" customWidth="1" min="9" max="9"/>
    <col width="55" customWidth="1" min="10" max="10"/>
    <col width="19" customWidth="1" min="11" max="11"/>
    <col width="29" customWidth="1" min="12" max="12"/>
    <col width="15" customWidth="1" min="13" max="13"/>
    <col width="18" customWidth="1" min="14" max="14"/>
  </cols>
  <sheetData>
    <row r="1" ht="30" customHeight="1">
      <c r="A1" s="1" t="inlineStr">
        <is>
          <t>product_id</t>
        </is>
      </c>
      <c r="B1" s="1" t="inlineStr">
        <is>
          <t>manufacturer</t>
        </is>
      </c>
      <c r="C1" s="1" t="inlineStr">
        <is>
          <t>product_family</t>
        </is>
      </c>
      <c r="D1" s="1" t="inlineStr">
        <is>
          <t>product_name</t>
        </is>
      </c>
      <c r="E1" s="1" t="inlineStr">
        <is>
          <t>selected_length_mm</t>
        </is>
      </c>
      <c r="F1" s="1" t="inlineStr">
        <is>
          <t>flow_rate_lps</t>
        </is>
      </c>
      <c r="G1" s="1" t="inlineStr">
        <is>
          <t>material_v4a</t>
        </is>
      </c>
      <c r="H1" s="1" t="inlineStr">
        <is>
          <t>din_en_1253_cert</t>
        </is>
      </c>
      <c r="I1" s="1" t="inlineStr">
        <is>
          <t>din_18534_compliance</t>
        </is>
      </c>
      <c r="J1" s="1" t="inlineStr">
        <is>
          <t>height_range_mm</t>
        </is>
      </c>
      <c r="K1" s="1" t="inlineStr">
        <is>
          <t>outlet_selectable</t>
        </is>
      </c>
      <c r="L1" s="1" t="inlineStr">
        <is>
          <t>sealing_fleece_preassembled</t>
        </is>
      </c>
      <c r="M1" s="1" t="inlineStr">
        <is>
          <t>colours_count</t>
        </is>
      </c>
      <c r="N1" s="1" t="inlineStr">
        <is>
          <t>min_price_de_eur</t>
        </is>
      </c>
      <c r="O1" t="inlineStr">
        <is>
          <t>target_length_mm</t>
        </is>
      </c>
      <c r="P1" t="inlineStr">
        <is>
          <t>length_delta_mm</t>
        </is>
      </c>
      <c r="Q1" t="inlineStr">
        <is>
          <t>installation_position</t>
        </is>
      </c>
      <c r="R1" t="inlineStr">
        <is>
          <t>tileable</t>
        </is>
      </c>
      <c r="S1" t="inlineStr">
        <is>
          <t>outlet_direction</t>
        </is>
      </c>
      <c r="T1" t="inlineStr">
        <is>
          <t>outlet_dn</t>
        </is>
      </c>
      <c r="U1" t="inlineStr">
        <is>
          <t>material_detail</t>
        </is>
      </c>
      <c r="V1" t="inlineStr">
        <is>
          <t>height_adj_min_mm</t>
        </is>
      </c>
      <c r="W1" t="inlineStr">
        <is>
          <t>height_adj_max_mm</t>
        </is>
      </c>
      <c r="X1" t="inlineStr">
        <is>
          <t>equivalence_score</t>
        </is>
      </c>
      <c r="Y1" t="inlineStr">
        <is>
          <t>selected_option_id</t>
        </is>
      </c>
      <c r="Z1" t="inlineStr">
        <is>
          <t>equivalence_score_0_100</t>
        </is>
      </c>
      <c r="AA1" t="inlineStr">
        <is>
          <t>parameter_score_0_100</t>
        </is>
      </c>
      <c r="AB1" t="inlineStr">
        <is>
          <t>final_score_0_100</t>
        </is>
      </c>
      <c r="AC1" t="inlineStr">
        <is>
          <t>final_eq_component_0_100</t>
        </is>
      </c>
      <c r="AD1" t="inlineStr">
        <is>
          <t>final_param_component_0_100</t>
        </is>
      </c>
      <c r="AE1" t="inlineStr">
        <is>
          <t>contrib_equivalence</t>
        </is>
      </c>
      <c r="AF1" t="inlineStr">
        <is>
          <t>contrib_flow_rate</t>
        </is>
      </c>
      <c r="AG1" t="inlineStr">
        <is>
          <t>contrib_material_v4a</t>
        </is>
      </c>
      <c r="AH1" t="inlineStr">
        <is>
          <t>contrib_din_en_1253</t>
        </is>
      </c>
      <c r="AI1" t="inlineStr">
        <is>
          <t>contrib_din_18534</t>
        </is>
      </c>
      <c r="AJ1" t="inlineStr">
        <is>
          <t>contrib_height_adjustability</t>
        </is>
      </c>
      <c r="AK1" t="inlineStr">
        <is>
          <t>contrib_outlet_variants</t>
        </is>
      </c>
      <c r="AL1" t="inlineStr">
        <is>
          <t>contrib_sealing_fleece</t>
        </is>
      </c>
      <c r="AM1" t="inlineStr">
        <is>
          <t>contrib_colours</t>
        </is>
      </c>
      <c r="AN1" t="inlineStr">
        <is>
          <t>contrib_price</t>
        </is>
      </c>
    </row>
    <row r="2">
      <c r="A2">
        <f>Products!A2</f>
        <v/>
      </c>
      <c r="B2">
        <f>Products!B2</f>
        <v/>
      </c>
      <c r="C2">
        <f>Products!C2</f>
        <v/>
      </c>
      <c r="D2">
        <f>Products!D2</f>
        <v/>
      </c>
      <c r="E2">
        <f>Products!F2</f>
        <v/>
      </c>
      <c r="F2">
        <f>Products!I2</f>
        <v/>
      </c>
      <c r="G2">
        <f>Products!K2</f>
        <v/>
      </c>
      <c r="H2">
        <f>Products!M2</f>
        <v/>
      </c>
      <c r="I2">
        <f>Products!N2</f>
        <v/>
      </c>
      <c r="J2">
        <f>IF(AND(Products!O2&lt;&gt;"",Products!P2&lt;&gt;""),TEXT(Products!O2,"0")&amp;"–"&amp;TEXT(Products!P2,"0"),"")</f>
        <v/>
      </c>
      <c r="K2">
        <f>Products!S2</f>
        <v/>
      </c>
      <c r="L2">
        <f>Products!T2</f>
        <v/>
      </c>
      <c r="M2">
        <f>Products!U2</f>
        <v/>
      </c>
      <c r="N2">
        <f>Products!W2</f>
        <v/>
      </c>
    </row>
    <row r="3">
      <c r="A3">
        <f>Products!A3</f>
        <v/>
      </c>
      <c r="B3">
        <f>Products!B3</f>
        <v/>
      </c>
      <c r="C3">
        <f>Products!C3</f>
        <v/>
      </c>
      <c r="D3">
        <f>Products!D3</f>
        <v/>
      </c>
      <c r="E3">
        <f>Products!F3</f>
        <v/>
      </c>
      <c r="F3">
        <f>Products!I3</f>
        <v/>
      </c>
      <c r="G3">
        <f>Products!K3</f>
        <v/>
      </c>
      <c r="H3">
        <f>Products!M3</f>
        <v/>
      </c>
      <c r="I3">
        <f>Products!N3</f>
        <v/>
      </c>
      <c r="J3">
        <f>IF(AND(Products!O3&lt;&gt;"",Products!P3&lt;&gt;""),TEXT(Products!O3,"0")&amp;"–"&amp;TEXT(Products!P3,"0"),"")</f>
        <v/>
      </c>
      <c r="K3">
        <f>Products!S3</f>
        <v/>
      </c>
      <c r="L3">
        <f>Products!T3</f>
        <v/>
      </c>
      <c r="M3">
        <f>Products!U3</f>
        <v/>
      </c>
      <c r="N3">
        <f>Products!W3</f>
        <v/>
      </c>
    </row>
    <row r="4">
      <c r="A4">
        <f>Products!A4</f>
        <v/>
      </c>
      <c r="B4">
        <f>Products!B4</f>
        <v/>
      </c>
      <c r="C4">
        <f>Products!C4</f>
        <v/>
      </c>
      <c r="D4">
        <f>Products!D4</f>
        <v/>
      </c>
      <c r="E4">
        <f>Products!F4</f>
        <v/>
      </c>
      <c r="F4">
        <f>Products!I4</f>
        <v/>
      </c>
      <c r="G4">
        <f>Products!K4</f>
        <v/>
      </c>
      <c r="H4">
        <f>Products!M4</f>
        <v/>
      </c>
      <c r="I4">
        <f>Products!N4</f>
        <v/>
      </c>
      <c r="J4">
        <f>IF(AND(Products!O4&lt;&gt;"",Products!P4&lt;&gt;""),TEXT(Products!O4,"0")&amp;"–"&amp;TEXT(Products!P4,"0"),"")</f>
        <v/>
      </c>
      <c r="K4">
        <f>Products!S4</f>
        <v/>
      </c>
      <c r="L4">
        <f>Products!T4</f>
        <v/>
      </c>
      <c r="M4">
        <f>Products!U4</f>
        <v/>
      </c>
      <c r="N4">
        <f>Products!W4</f>
        <v/>
      </c>
    </row>
    <row r="5">
      <c r="A5">
        <f>Products!A5</f>
        <v/>
      </c>
      <c r="B5">
        <f>Products!B5</f>
        <v/>
      </c>
      <c r="C5">
        <f>Products!C5</f>
        <v/>
      </c>
      <c r="D5">
        <f>Products!D5</f>
        <v/>
      </c>
      <c r="E5">
        <f>Products!F5</f>
        <v/>
      </c>
      <c r="F5">
        <f>Products!I5</f>
        <v/>
      </c>
      <c r="G5">
        <f>Products!K5</f>
        <v/>
      </c>
      <c r="H5">
        <f>Products!M5</f>
        <v/>
      </c>
      <c r="I5">
        <f>Products!N5</f>
        <v/>
      </c>
      <c r="J5">
        <f>IF(AND(Products!O5&lt;&gt;"",Products!P5&lt;&gt;""),TEXT(Products!O5,"0")&amp;"–"&amp;TEXT(Products!P5,"0"),"")</f>
        <v/>
      </c>
      <c r="K5">
        <f>Products!S5</f>
        <v/>
      </c>
      <c r="L5">
        <f>Products!T5</f>
        <v/>
      </c>
      <c r="M5">
        <f>Products!U5</f>
        <v/>
      </c>
      <c r="N5">
        <f>Products!W5</f>
        <v/>
      </c>
    </row>
    <row r="6">
      <c r="A6">
        <f>Products!A6</f>
        <v/>
      </c>
      <c r="B6">
        <f>Products!B6</f>
        <v/>
      </c>
      <c r="C6">
        <f>Products!C6</f>
        <v/>
      </c>
      <c r="D6">
        <f>Products!D6</f>
        <v/>
      </c>
      <c r="E6">
        <f>Products!F6</f>
        <v/>
      </c>
      <c r="F6">
        <f>Products!I6</f>
        <v/>
      </c>
      <c r="G6">
        <f>Products!K6</f>
        <v/>
      </c>
      <c r="H6">
        <f>Products!M6</f>
        <v/>
      </c>
      <c r="I6">
        <f>Products!N6</f>
        <v/>
      </c>
      <c r="J6">
        <f>IF(AND(Products!O6&lt;&gt;"",Products!P6&lt;&gt;""),TEXT(Products!O6,"0")&amp;"–"&amp;TEXT(Products!P6,"0"),"")</f>
        <v/>
      </c>
      <c r="K6">
        <f>Products!S6</f>
        <v/>
      </c>
      <c r="L6">
        <f>Products!T6</f>
        <v/>
      </c>
      <c r="M6">
        <f>Products!U6</f>
        <v/>
      </c>
      <c r="N6">
        <f>Products!W6</f>
        <v/>
      </c>
    </row>
    <row r="7">
      <c r="A7">
        <f>Products!A7</f>
        <v/>
      </c>
      <c r="B7">
        <f>Products!B7</f>
        <v/>
      </c>
      <c r="C7">
        <f>Products!C7</f>
        <v/>
      </c>
      <c r="D7">
        <f>Products!D7</f>
        <v/>
      </c>
      <c r="E7">
        <f>Products!F7</f>
        <v/>
      </c>
      <c r="F7">
        <f>Products!I7</f>
        <v/>
      </c>
      <c r="G7">
        <f>Products!K7</f>
        <v/>
      </c>
      <c r="H7">
        <f>Products!M7</f>
        <v/>
      </c>
      <c r="I7">
        <f>Products!N7</f>
        <v/>
      </c>
      <c r="J7">
        <f>IF(AND(Products!O7&lt;&gt;"",Products!P7&lt;&gt;""),TEXT(Products!O7,"0")&amp;"–"&amp;TEXT(Products!P7,"0"),"")</f>
        <v/>
      </c>
      <c r="K7">
        <f>Products!S7</f>
        <v/>
      </c>
      <c r="L7">
        <f>Products!T7</f>
        <v/>
      </c>
      <c r="M7">
        <f>Products!U7</f>
        <v/>
      </c>
      <c r="N7">
        <f>Products!W7</f>
        <v/>
      </c>
    </row>
    <row r="8">
      <c r="A8">
        <f>Products!A8</f>
        <v/>
      </c>
      <c r="B8">
        <f>Products!B8</f>
        <v/>
      </c>
      <c r="C8">
        <f>Products!C8</f>
        <v/>
      </c>
      <c r="D8">
        <f>Products!D8</f>
        <v/>
      </c>
      <c r="E8">
        <f>Products!F8</f>
        <v/>
      </c>
      <c r="F8">
        <f>Products!I8</f>
        <v/>
      </c>
      <c r="G8">
        <f>Products!K8</f>
        <v/>
      </c>
      <c r="H8">
        <f>Products!M8</f>
        <v/>
      </c>
      <c r="I8">
        <f>Products!N8</f>
        <v/>
      </c>
      <c r="J8">
        <f>IF(AND(Products!O8&lt;&gt;"",Products!P8&lt;&gt;""),TEXT(Products!O8,"0")&amp;"–"&amp;TEXT(Products!P8,"0"),"")</f>
        <v/>
      </c>
      <c r="K8">
        <f>Products!S8</f>
        <v/>
      </c>
      <c r="L8">
        <f>Products!T8</f>
        <v/>
      </c>
      <c r="M8">
        <f>Products!U8</f>
        <v/>
      </c>
      <c r="N8">
        <f>Products!W8</f>
        <v/>
      </c>
    </row>
    <row r="9">
      <c r="A9">
        <f>Products!A9</f>
        <v/>
      </c>
      <c r="B9">
        <f>Products!B9</f>
        <v/>
      </c>
      <c r="C9">
        <f>Products!C9</f>
        <v/>
      </c>
      <c r="D9">
        <f>Products!D9</f>
        <v/>
      </c>
      <c r="E9">
        <f>Products!F9</f>
        <v/>
      </c>
      <c r="F9">
        <f>Products!I9</f>
        <v/>
      </c>
      <c r="G9">
        <f>Products!K9</f>
        <v/>
      </c>
      <c r="H9">
        <f>Products!M9</f>
        <v/>
      </c>
      <c r="I9">
        <f>Products!N9</f>
        <v/>
      </c>
      <c r="J9">
        <f>IF(AND(Products!O9&lt;&gt;"",Products!P9&lt;&gt;""),TEXT(Products!O9,"0")&amp;"–"&amp;TEXT(Products!P9,"0"),"")</f>
        <v/>
      </c>
      <c r="K9">
        <f>Products!S9</f>
        <v/>
      </c>
      <c r="L9">
        <f>Products!T9</f>
        <v/>
      </c>
      <c r="M9">
        <f>Products!U9</f>
        <v/>
      </c>
      <c r="N9">
        <f>Products!W9</f>
        <v/>
      </c>
    </row>
    <row r="10">
      <c r="A10">
        <f>Products!A10</f>
        <v/>
      </c>
      <c r="B10">
        <f>Products!B10</f>
        <v/>
      </c>
      <c r="C10">
        <f>Products!C10</f>
        <v/>
      </c>
      <c r="D10">
        <f>Products!D10</f>
        <v/>
      </c>
      <c r="E10">
        <f>Products!F10</f>
        <v/>
      </c>
      <c r="F10">
        <f>Products!I10</f>
        <v/>
      </c>
      <c r="G10">
        <f>Products!K10</f>
        <v/>
      </c>
      <c r="H10">
        <f>Products!M10</f>
        <v/>
      </c>
      <c r="I10">
        <f>Products!N10</f>
        <v/>
      </c>
      <c r="J10">
        <f>IF(AND(Products!O10&lt;&gt;"",Products!P10&lt;&gt;""),TEXT(Products!O10,"0")&amp;"–"&amp;TEXT(Products!P10,"0"),"")</f>
        <v/>
      </c>
      <c r="K10">
        <f>Products!S10</f>
        <v/>
      </c>
      <c r="L10">
        <f>Products!T10</f>
        <v/>
      </c>
      <c r="M10">
        <f>Products!U10</f>
        <v/>
      </c>
      <c r="N10">
        <f>Products!W10</f>
        <v/>
      </c>
    </row>
    <row r="11">
      <c r="A11">
        <f>Products!A11</f>
        <v/>
      </c>
      <c r="B11">
        <f>Products!B11</f>
        <v/>
      </c>
      <c r="C11">
        <f>Products!C11</f>
        <v/>
      </c>
      <c r="D11">
        <f>Products!D11</f>
        <v/>
      </c>
      <c r="E11">
        <f>Products!F11</f>
        <v/>
      </c>
      <c r="F11">
        <f>Products!I11</f>
        <v/>
      </c>
      <c r="G11">
        <f>Products!K11</f>
        <v/>
      </c>
      <c r="H11">
        <f>Products!M11</f>
        <v/>
      </c>
      <c r="I11">
        <f>Products!N11</f>
        <v/>
      </c>
      <c r="J11">
        <f>IF(AND(Products!O11&lt;&gt;"",Products!P11&lt;&gt;""),TEXT(Products!O11,"0")&amp;"–"&amp;TEXT(Products!P11,"0"),"")</f>
        <v/>
      </c>
      <c r="K11">
        <f>Products!S11</f>
        <v/>
      </c>
      <c r="L11">
        <f>Products!T11</f>
        <v/>
      </c>
      <c r="M11">
        <f>Products!U11</f>
        <v/>
      </c>
      <c r="N11">
        <f>Products!W11</f>
        <v/>
      </c>
    </row>
    <row r="12">
      <c r="A12">
        <f>Products!A12</f>
        <v/>
      </c>
      <c r="B12">
        <f>Products!B12</f>
        <v/>
      </c>
      <c r="C12">
        <f>Products!C12</f>
        <v/>
      </c>
      <c r="D12">
        <f>Products!D12</f>
        <v/>
      </c>
      <c r="E12">
        <f>Products!F12</f>
        <v/>
      </c>
      <c r="F12">
        <f>Products!I12</f>
        <v/>
      </c>
      <c r="G12">
        <f>Products!K12</f>
        <v/>
      </c>
      <c r="H12">
        <f>Products!M12</f>
        <v/>
      </c>
      <c r="I12">
        <f>Products!N12</f>
        <v/>
      </c>
      <c r="J12">
        <f>IF(AND(Products!O12&lt;&gt;"",Products!P12&lt;&gt;""),TEXT(Products!O12,"0")&amp;"–"&amp;TEXT(Products!P12,"0"),"")</f>
        <v/>
      </c>
      <c r="K12">
        <f>Products!S12</f>
        <v/>
      </c>
      <c r="L12">
        <f>Products!T12</f>
        <v/>
      </c>
      <c r="M12">
        <f>Products!U12</f>
        <v/>
      </c>
      <c r="N12">
        <f>Products!W12</f>
        <v/>
      </c>
    </row>
    <row r="13">
      <c r="A13">
        <f>Products!A13</f>
        <v/>
      </c>
      <c r="B13">
        <f>Products!B13</f>
        <v/>
      </c>
      <c r="C13">
        <f>Products!C13</f>
        <v/>
      </c>
      <c r="D13">
        <f>Products!D13</f>
        <v/>
      </c>
      <c r="E13">
        <f>Products!F13</f>
        <v/>
      </c>
      <c r="F13">
        <f>Products!I13</f>
        <v/>
      </c>
      <c r="G13">
        <f>Products!K13</f>
        <v/>
      </c>
      <c r="H13">
        <f>Products!M13</f>
        <v/>
      </c>
      <c r="I13">
        <f>Products!N13</f>
        <v/>
      </c>
      <c r="J13">
        <f>IF(AND(Products!O13&lt;&gt;"",Products!P13&lt;&gt;""),TEXT(Products!O13,"0")&amp;"–"&amp;TEXT(Products!P13,"0"),"")</f>
        <v/>
      </c>
      <c r="K13">
        <f>Products!S13</f>
        <v/>
      </c>
      <c r="L13">
        <f>Products!T13</f>
        <v/>
      </c>
      <c r="M13">
        <f>Products!U13</f>
        <v/>
      </c>
      <c r="N13">
        <f>Products!W13</f>
        <v/>
      </c>
    </row>
    <row r="14">
      <c r="A14">
        <f>Products!A14</f>
        <v/>
      </c>
      <c r="B14">
        <f>Products!B14</f>
        <v/>
      </c>
      <c r="C14">
        <f>Products!C14</f>
        <v/>
      </c>
      <c r="D14">
        <f>Products!D14</f>
        <v/>
      </c>
      <c r="E14">
        <f>Products!F14</f>
        <v/>
      </c>
      <c r="F14">
        <f>Products!I14</f>
        <v/>
      </c>
      <c r="G14">
        <f>Products!K14</f>
        <v/>
      </c>
      <c r="H14">
        <f>Products!M14</f>
        <v/>
      </c>
      <c r="I14">
        <f>Products!N14</f>
        <v/>
      </c>
      <c r="J14">
        <f>IF(AND(Products!O14&lt;&gt;"",Products!P14&lt;&gt;""),TEXT(Products!O14,"0")&amp;"–"&amp;TEXT(Products!P14,"0"),"")</f>
        <v/>
      </c>
      <c r="K14">
        <f>Products!S14</f>
        <v/>
      </c>
      <c r="L14">
        <f>Products!T14</f>
        <v/>
      </c>
      <c r="M14">
        <f>Products!U14</f>
        <v/>
      </c>
      <c r="N14">
        <f>Products!W14</f>
        <v/>
      </c>
    </row>
    <row r="15">
      <c r="A15">
        <f>Products!A15</f>
        <v/>
      </c>
      <c r="B15">
        <f>Products!B15</f>
        <v/>
      </c>
      <c r="C15">
        <f>Products!C15</f>
        <v/>
      </c>
      <c r="D15">
        <f>Products!D15</f>
        <v/>
      </c>
      <c r="E15">
        <f>Products!F15</f>
        <v/>
      </c>
      <c r="F15">
        <f>Products!I15</f>
        <v/>
      </c>
      <c r="G15">
        <f>Products!K15</f>
        <v/>
      </c>
      <c r="H15">
        <f>Products!M15</f>
        <v/>
      </c>
      <c r="I15">
        <f>Products!N15</f>
        <v/>
      </c>
      <c r="J15">
        <f>IF(AND(Products!O15&lt;&gt;"",Products!P15&lt;&gt;""),TEXT(Products!O15,"0")&amp;"–"&amp;TEXT(Products!P15,"0"),"")</f>
        <v/>
      </c>
      <c r="K15">
        <f>Products!S15</f>
        <v/>
      </c>
      <c r="L15">
        <f>Products!T15</f>
        <v/>
      </c>
      <c r="M15">
        <f>Products!U15</f>
        <v/>
      </c>
      <c r="N15">
        <f>Products!W15</f>
        <v/>
      </c>
    </row>
    <row r="16">
      <c r="A16">
        <f>Products!A16</f>
        <v/>
      </c>
      <c r="B16">
        <f>Products!B16</f>
        <v/>
      </c>
      <c r="C16">
        <f>Products!C16</f>
        <v/>
      </c>
      <c r="D16">
        <f>Products!D16</f>
        <v/>
      </c>
      <c r="E16">
        <f>Products!F16</f>
        <v/>
      </c>
      <c r="F16">
        <f>Products!I16</f>
        <v/>
      </c>
      <c r="G16">
        <f>Products!K16</f>
        <v/>
      </c>
      <c r="H16">
        <f>Products!M16</f>
        <v/>
      </c>
      <c r="I16">
        <f>Products!N16</f>
        <v/>
      </c>
      <c r="J16">
        <f>IF(AND(Products!O16&lt;&gt;"",Products!P16&lt;&gt;""),TEXT(Products!O16,"0")&amp;"–"&amp;TEXT(Products!P16,"0"),"")</f>
        <v/>
      </c>
      <c r="K16">
        <f>Products!S16</f>
        <v/>
      </c>
      <c r="L16">
        <f>Products!T16</f>
        <v/>
      </c>
      <c r="M16">
        <f>Products!U16</f>
        <v/>
      </c>
      <c r="N16">
        <f>Products!W16</f>
        <v/>
      </c>
    </row>
    <row r="17">
      <c r="A17">
        <f>Products!A17</f>
        <v/>
      </c>
      <c r="B17">
        <f>Products!B17</f>
        <v/>
      </c>
      <c r="C17">
        <f>Products!C17</f>
        <v/>
      </c>
      <c r="D17">
        <f>Products!D17</f>
        <v/>
      </c>
      <c r="E17">
        <f>Products!F17</f>
        <v/>
      </c>
      <c r="F17">
        <f>Products!I17</f>
        <v/>
      </c>
      <c r="G17">
        <f>Products!K17</f>
        <v/>
      </c>
      <c r="H17">
        <f>Products!M17</f>
        <v/>
      </c>
      <c r="I17">
        <f>Products!N17</f>
        <v/>
      </c>
      <c r="J17">
        <f>IF(AND(Products!O17&lt;&gt;"",Products!P17&lt;&gt;""),TEXT(Products!O17,"0")&amp;"–"&amp;TEXT(Products!P17,"0"),"")</f>
        <v/>
      </c>
      <c r="K17">
        <f>Products!S17</f>
        <v/>
      </c>
      <c r="L17">
        <f>Products!T17</f>
        <v/>
      </c>
      <c r="M17">
        <f>Products!U17</f>
        <v/>
      </c>
      <c r="N17">
        <f>Products!W17</f>
        <v/>
      </c>
    </row>
    <row r="18">
      <c r="A18">
        <f>Products!A18</f>
        <v/>
      </c>
      <c r="B18">
        <f>Products!B18</f>
        <v/>
      </c>
      <c r="C18">
        <f>Products!C18</f>
        <v/>
      </c>
      <c r="D18">
        <f>Products!D18</f>
        <v/>
      </c>
      <c r="E18">
        <f>Products!F18</f>
        <v/>
      </c>
      <c r="F18">
        <f>Products!I18</f>
        <v/>
      </c>
      <c r="G18">
        <f>Products!K18</f>
        <v/>
      </c>
      <c r="H18">
        <f>Products!M18</f>
        <v/>
      </c>
      <c r="I18">
        <f>Products!N18</f>
        <v/>
      </c>
      <c r="J18">
        <f>IF(AND(Products!O18&lt;&gt;"",Products!P18&lt;&gt;""),TEXT(Products!O18,"0")&amp;"–"&amp;TEXT(Products!P18,"0"),"")</f>
        <v/>
      </c>
      <c r="K18">
        <f>Products!S18</f>
        <v/>
      </c>
      <c r="L18">
        <f>Products!T18</f>
        <v/>
      </c>
      <c r="M18">
        <f>Products!U18</f>
        <v/>
      </c>
      <c r="N18">
        <f>Products!W18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reference_product</t>
        </is>
      </c>
      <c r="B2" t="inlineStr">
        <is>
          <t>KALDEWEI FLOWLINE ZERO</t>
        </is>
      </c>
      <c r="C2" t="inlineStr">
        <is>
          <t>target baseline</t>
        </is>
      </c>
    </row>
    <row r="3">
      <c r="A3" t="inlineStr">
        <is>
          <t>target_length_mm</t>
        </is>
      </c>
      <c r="B3" t="n">
        <v>1200</v>
      </c>
      <c r="C3" t="inlineStr">
        <is>
          <t>benchmark length</t>
        </is>
      </c>
    </row>
    <row r="4">
      <c r="A4" t="inlineStr">
        <is>
          <t>installation_position</t>
        </is>
      </c>
      <c r="B4" t="inlineStr">
        <is>
          <t>wall_adjacent</t>
        </is>
      </c>
      <c r="C4" t="inlineStr">
        <is>
          <t>closest equivalent matching</t>
        </is>
      </c>
    </row>
    <row r="5">
      <c r="A5" t="inlineStr">
        <is>
          <t>tileable</t>
        </is>
      </c>
      <c r="B5" t="inlineStr">
        <is>
          <t>no</t>
        </is>
      </c>
      <c r="C5" t="inlineStr">
        <is>
          <t>reference uses visible cover variants</t>
        </is>
      </c>
    </row>
    <row r="6">
      <c r="A6" t="inlineStr">
        <is>
          <t>outlet_direction</t>
        </is>
      </c>
      <c r="B6" t="inlineStr">
        <is>
          <t>horizontal</t>
        </is>
      </c>
      <c r="C6" t="inlineStr">
        <is>
          <t>reference baseline</t>
        </is>
      </c>
    </row>
    <row r="7">
      <c r="A7" t="inlineStr">
        <is>
          <t>outlet_dn</t>
        </is>
      </c>
      <c r="B7" t="inlineStr">
        <is>
          <t>DN50</t>
        </is>
      </c>
      <c r="C7" t="inlineStr">
        <is>
          <t>reference baseline</t>
        </is>
      </c>
    </row>
    <row r="8">
      <c r="A8" t="inlineStr">
        <is>
          <t>flow_rate_min_lps</t>
        </is>
      </c>
      <c r="B8" t="n">
        <v>0.8</v>
      </c>
      <c r="C8" t="inlineStr">
        <is>
          <t>standard requirement; filter later</t>
        </is>
      </c>
    </row>
    <row r="9">
      <c r="A9" t="inlineStr">
        <is>
          <t>sealing_fleece_preassembled</t>
        </is>
      </c>
      <c r="B9" t="inlineStr">
        <is>
          <t>unknown</t>
        </is>
      </c>
      <c r="C9" t="inlineStr">
        <is>
          <t>to be verified from datasheet</t>
        </is>
      </c>
    </row>
    <row r="10">
      <c r="A10" t="inlineStr">
        <is>
          <t>material_grade</t>
        </is>
      </c>
      <c r="B10" t="inlineStr">
        <is>
          <t>unknown</t>
        </is>
      </c>
      <c r="C10" t="inlineStr">
        <is>
          <t>derive if explicit (V4A/1.4404 etc.)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  <c r="C1" t="inlineStr">
        <is>
          <t>weight_pct</t>
        </is>
      </c>
    </row>
    <row r="2">
      <c r="A2" t="inlineStr">
        <is>
          <t>installation_type</t>
        </is>
      </c>
      <c r="B2" t="inlineStr">
        <is>
          <t>Typ instalace (wall/free)</t>
        </is>
      </c>
      <c r="C2" t="n">
        <v>17</v>
      </c>
    </row>
    <row r="3">
      <c r="A3" t="inlineStr">
        <is>
          <t>tileable</t>
        </is>
      </c>
      <c r="B3" t="inlineStr">
        <is>
          <t>Tileable / befliesbar</t>
        </is>
      </c>
      <c r="C3" t="n">
        <v>17</v>
      </c>
    </row>
    <row r="4">
      <c r="A4" t="inlineStr">
        <is>
          <t>outlet_type_dn</t>
        </is>
      </c>
      <c r="B4" t="inlineStr">
        <is>
          <t>Outlet (směr + DN)</t>
        </is>
      </c>
      <c r="C4" t="n">
        <v>17</v>
      </c>
    </row>
    <row r="5">
      <c r="A5" t="inlineStr">
        <is>
          <t>install_height</t>
        </is>
      </c>
      <c r="B5" t="inlineStr">
        <is>
          <t>Konstrukční/instalační výška</t>
        </is>
      </c>
      <c r="C5" t="n">
        <v>17</v>
      </c>
    </row>
    <row r="6">
      <c r="A6" t="inlineStr">
        <is>
          <t>sealing_fleece</t>
        </is>
      </c>
      <c r="B6" t="inlineStr">
        <is>
          <t>Sealing fleece / collar</t>
        </is>
      </c>
      <c r="C6" t="n">
        <v>16</v>
      </c>
    </row>
    <row r="7">
      <c r="A7" t="inlineStr">
        <is>
          <t>length_mode_match</t>
        </is>
      </c>
      <c r="B7" t="inlineStr">
        <is>
          <t>Délkový režim (fixed/cuttable/nearest)</t>
        </is>
      </c>
      <c r="C7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length_tolerance_mm</t>
        </is>
      </c>
      <c r="B2" t="n">
        <v>100</v>
      </c>
      <c r="C2" t="inlineStr">
        <is>
          <t>exclude if abs(delta) &gt; tolerance</t>
        </is>
      </c>
    </row>
    <row r="3">
      <c r="A3" t="inlineStr">
        <is>
          <t>complete_system_required</t>
        </is>
      </c>
      <c r="B3" t="inlineStr">
        <is>
          <t>yes</t>
        </is>
      </c>
      <c r="C3" t="inlineStr">
        <is>
          <t>exclude if not complete or modular_complete</t>
        </is>
      </c>
    </row>
    <row r="4">
      <c r="A4" t="inlineStr">
        <is>
          <t>profile_only_handling</t>
        </is>
      </c>
      <c r="B4" t="inlineStr">
        <is>
          <t>keep_excluded</t>
        </is>
      </c>
      <c r="C4" t="inlineStr">
        <is>
          <t>keep but mark not_complete_system</t>
        </is>
      </c>
    </row>
    <row r="5">
      <c r="A5" t="inlineStr">
        <is>
          <t>finish_set_handling</t>
        </is>
      </c>
      <c r="B5" t="inlineStr">
        <is>
          <t>keep_excluded</t>
        </is>
      </c>
      <c r="C5" t="inlineStr">
        <is>
          <t>keep but mark not_complete_system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  <c r="C1" t="inlineStr">
        <is>
          <t>weight_pct</t>
        </is>
      </c>
      <c r="D1" t="inlineStr">
        <is>
          <t>enabled</t>
        </is>
      </c>
    </row>
    <row r="2">
      <c r="A2" t="inlineStr">
        <is>
          <t>equivalence_overall</t>
        </is>
      </c>
      <c r="B2" t="inlineStr">
        <is>
          <t>Ekvivalentnost (vliv na pořadí)</t>
        </is>
      </c>
      <c r="C2" t="n">
        <v>20</v>
      </c>
      <c r="D2" t="b">
        <v>1</v>
      </c>
    </row>
    <row r="3">
      <c r="A3" t="inlineStr">
        <is>
          <t>flow_rate</t>
        </is>
      </c>
      <c r="B3" t="inlineStr">
        <is>
          <t>Průtok</t>
        </is>
      </c>
      <c r="C3" t="n">
        <v>15</v>
      </c>
      <c r="D3" t="b">
        <v>1</v>
      </c>
    </row>
    <row r="4">
      <c r="A4" t="inlineStr">
        <is>
          <t>material_v4a</t>
        </is>
      </c>
      <c r="B4" t="inlineStr">
        <is>
          <t>Materiál / V4A</t>
        </is>
      </c>
      <c r="C4" t="n">
        <v>15</v>
      </c>
      <c r="D4" t="b">
        <v>1</v>
      </c>
    </row>
    <row r="5">
      <c r="A5" t="inlineStr">
        <is>
          <t>din_en_1253</t>
        </is>
      </c>
      <c r="B5" t="inlineStr">
        <is>
          <t>DIN EN 1253</t>
        </is>
      </c>
      <c r="C5" t="n">
        <v>10</v>
      </c>
      <c r="D5" t="b">
        <v>1</v>
      </c>
    </row>
    <row r="6">
      <c r="A6" t="inlineStr">
        <is>
          <t>din_18534</t>
        </is>
      </c>
      <c r="B6" t="inlineStr">
        <is>
          <t>DIN EN 18534</t>
        </is>
      </c>
      <c r="C6" t="n">
        <v>10</v>
      </c>
      <c r="D6" t="b">
        <v>1</v>
      </c>
    </row>
    <row r="7">
      <c r="A7" t="inlineStr">
        <is>
          <t>height_adjustability</t>
        </is>
      </c>
      <c r="B7" t="inlineStr">
        <is>
          <t>Výšková nastavitelnost (rozsah)</t>
        </is>
      </c>
      <c r="C7" t="n">
        <v>10</v>
      </c>
      <c r="D7" t="b">
        <v>1</v>
      </c>
    </row>
    <row r="8">
      <c r="A8" t="inlineStr">
        <is>
          <t>outlet_variants</t>
        </is>
      </c>
      <c r="B8" t="inlineStr">
        <is>
          <t>Outlet varianty (selectable / 2 varianty / 1 varianta)</t>
        </is>
      </c>
      <c r="C8" t="n">
        <v>10</v>
      </c>
      <c r="D8" t="b">
        <v>1</v>
      </c>
    </row>
    <row r="9">
      <c r="A9" t="inlineStr">
        <is>
          <t>sealing_fleece_preassembled</t>
        </is>
      </c>
      <c r="B9" t="inlineStr">
        <is>
          <t>Sealing fleece předmontovaný</t>
        </is>
      </c>
      <c r="C9" t="n">
        <v>5</v>
      </c>
      <c r="D9" t="b">
        <v>1</v>
      </c>
    </row>
    <row r="10">
      <c r="A10" t="inlineStr">
        <is>
          <t>colours_count</t>
        </is>
      </c>
      <c r="B10" t="inlineStr">
        <is>
          <t>Počet barev/povrchů</t>
        </is>
      </c>
      <c r="C10" t="n">
        <v>5</v>
      </c>
      <c r="D10" t="b">
        <v>1</v>
      </c>
    </row>
    <row r="11">
      <c r="A11" t="inlineStr">
        <is>
          <t>sales_price</t>
        </is>
      </c>
      <c r="B11" t="inlineStr">
        <is>
          <t>Cena (DE) – zatím ignorováno</t>
        </is>
      </c>
      <c r="C11" t="n">
        <v>0</v>
      </c>
      <c r="D1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unknown_penalty_score</t>
        </is>
      </c>
      <c r="B2" t="n">
        <v>0.3</v>
      </c>
      <c r="C2" t="inlineStr">
        <is>
          <t>Skóre pro unknown hodnoty (0–1)</t>
        </is>
      </c>
    </row>
    <row r="3">
      <c r="A3" t="inlineStr">
        <is>
          <t>price_enabled</t>
        </is>
      </c>
      <c r="B3" t="b">
        <v>0</v>
      </c>
      <c r="C3" t="inlineStr">
        <is>
          <t>Pricing modul aktivní</t>
        </is>
      </c>
    </row>
    <row r="4">
      <c r="A4" t="inlineStr">
        <is>
          <t>inference_penalty_enabled</t>
        </is>
      </c>
      <c r="B4" t="b">
        <v>0</v>
      </c>
      <c r="C4" t="inlineStr">
        <is>
          <t>Penalizace inferred hodnot (zatím ne)</t>
        </is>
      </c>
    </row>
    <row r="5">
      <c r="A5" t="inlineStr">
        <is>
          <t>weights_mode</t>
        </is>
      </c>
      <c r="B5" t="inlineStr">
        <is>
          <t>pct_sum_100</t>
        </is>
      </c>
      <c r="C5" t="inlineStr">
        <is>
          <t>Váhy v procentech se součtem 100</t>
        </is>
      </c>
    </row>
    <row r="6">
      <c r="A6" t="inlineStr">
        <is>
          <t>run_update_recompute</t>
        </is>
      </c>
      <c r="B6" t="inlineStr">
        <is>
          <t>on_click</t>
        </is>
      </c>
      <c r="C6" t="inlineStr">
        <is>
          <t>Přepočet až po Run update</t>
        </is>
      </c>
    </row>
    <row r="7">
      <c r="A7" t="inlineStr">
        <is>
          <t>outlet_scoring_mode</t>
        </is>
      </c>
      <c r="B7" t="inlineStr">
        <is>
          <t>multi_variant_supported</t>
        </is>
      </c>
      <c r="C7" t="inlineStr">
        <is>
          <t>Rozlišuje selectable vs 2 různé varianty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2026-01-02T13:16:22Z</dcterms:created>
  <dcterms:modified xmlns:dcterms="http://purl.org/dc/terms/" xmlns:xsi="http://www.w3.org/2001/XMLSchema-instance" xsi:type="dcterms:W3CDTF">2026-01-13T10:21:30Z</dcterms:modified>
</cp:coreProperties>
</file>